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All Tasks" sheetId="2" state="visible" r:id="rId4"/>
    <sheet name="📅 Sprint Plan" sheetId="3" state="visible" r:id="rId5"/>
    <sheet name="🔗 Integration Reference" sheetId="4" state="visible" r:id="rId6"/>
  </sheets>
  <definedNames>
    <definedName function="false" hidden="true" localSheetId="1" name="_xlnm._FilterDatabase" vbProcedure="false">'📋 All Tasks'!$A$3:$U$47</definedName>
    <definedName function="false" hidden="true" localSheetId="3" name="_xlnm._FilterDatabase" vbProcedure="false">'🔗 Integration Reference'!$A$3:$F$17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<sst xmlns="http://schemas.openxmlformats.org/spreadsheetml/2006/main" count="772" uniqueCount="316">
  <si>
    <t xml:space="preserve">KT Onboarding Enterprise — B2 Onboarding Journey Builder</t>
  </si>
  <si>
    <t xml:space="preserve">Module Tracker  |  v1.0  |  April 2026  |  Salesforce AppExchange Managed Package</t>
  </si>
  <si>
    <t xml:space="preserve">📦  Module Summary by Feature</t>
  </si>
  <si>
    <t xml:space="preserve">Feature ID</t>
  </si>
  <si>
    <t xml:space="preserve">Feature Name</t>
  </si>
  <si>
    <t xml:space="preserve">Total Tasks</t>
  </si>
  <si>
    <t xml:space="preserve">Story Points</t>
  </si>
  <si>
    <t xml:space="preserve">P1 Critical</t>
  </si>
  <si>
    <t xml:space="preserve">P2 High</t>
  </si>
  <si>
    <t xml:space="preserve">P3 Med/Low</t>
  </si>
  <si>
    <t xml:space="preserve">Status</t>
  </si>
  <si>
    <t xml:space="preserve">B2.1</t>
  </si>
  <si>
    <t xml:space="preserve">Journey Canvas &amp; Designer (LWC)</t>
  </si>
  <si>
    <t xml:space="preserve">Not Started</t>
  </si>
  <si>
    <t xml:space="preserve">B2.2</t>
  </si>
  <si>
    <t xml:space="preserve">Flow Orchestration Runtime</t>
  </si>
  <si>
    <t xml:space="preserve">B2.3</t>
  </si>
  <si>
    <t xml:space="preserve">Custom Objects &amp; Data Model</t>
  </si>
  <si>
    <t xml:space="preserve">B2.4</t>
  </si>
  <si>
    <t xml:space="preserve">SLA Engine &amp; Escalation</t>
  </si>
  <si>
    <t xml:space="preserve">B2.5</t>
  </si>
  <si>
    <t xml:space="preserve">Gate Signal Integrations</t>
  </si>
  <si>
    <t xml:space="preserve">B2.6</t>
  </si>
  <si>
    <t xml:space="preserve">Bulk &amp; Re-Trigger Services</t>
  </si>
  <si>
    <t xml:space="preserve">B2.7</t>
  </si>
  <si>
    <t xml:space="preserve">Headless 360 (MCP + AXL + Agent Script)</t>
  </si>
  <si>
    <t xml:space="preserve">B2.8</t>
  </si>
  <si>
    <t xml:space="preserve">React Canvas (Beta)</t>
  </si>
  <si>
    <t xml:space="preserve">B2.9</t>
  </si>
  <si>
    <t xml:space="preserve">Testing &amp; UAT</t>
  </si>
  <si>
    <t xml:space="preserve">TOTAL</t>
  </si>
  <si>
    <t xml:space="preserve">All Features</t>
  </si>
  <si>
    <t xml:space="preserve">⏱️  Time Estimates by Feature</t>
  </si>
  <si>
    <t xml:space="preserve">AI Dev (hrs)</t>
  </si>
  <si>
    <t xml:space="preserve">Buffer (25%)</t>
  </si>
  <si>
    <t xml:space="preserve">Total Hrs</t>
  </si>
  <si>
    <t xml:space="preserve">Total Days (÷8)</t>
  </si>
  <si>
    <t xml:space="preserve">🗓️  Sprint Timeline</t>
  </si>
  <si>
    <t xml:space="preserve">Sprint 2</t>
  </si>
  <si>
    <t xml:space="preserve">Sprint 3</t>
  </si>
  <si>
    <t xml:space="preserve">Sprints 4-6</t>
  </si>
  <si>
    <t xml:space="preserve">Sprint 7</t>
  </si>
  <si>
    <t xml:space="preserve">Sprint 9</t>
  </si>
  <si>
    <t xml:space="preserve">Canvas &amp; Designer</t>
  </si>
  <si>
    <t xml:space="preserve">Runtime &amp; SLA</t>
  </si>
  <si>
    <t xml:space="preserve">Integration Hardening</t>
  </si>
  <si>
    <t xml:space="preserve">Headless 360</t>
  </si>
  <si>
    <t xml:space="preserve">React Canvas Beta</t>
  </si>
  <si>
    <t xml:space="preserve">🔑  Priority Legend</t>
  </si>
  <si>
    <t xml:space="preserve">P1 - Critical</t>
  </si>
  <si>
    <t xml:space="preserve">P2 - High</t>
  </si>
  <si>
    <t xml:space="preserve">P3 - Medium</t>
  </si>
  <si>
    <t xml:space="preserve">P4 - Low</t>
  </si>
  <si>
    <t xml:space="preserve">🗓️  Sprint Colour Legend</t>
  </si>
  <si>
    <t xml:space="preserve">KT Onboarding Enterprise — B2 Onboarding Journey Builder | Module Task Tracker | v1.0 | April 2026</t>
  </si>
  <si>
    <t xml:space="preserve">Section: B2  |  Category: Journey Orchestration  |  Platform: Salesforce AppExchange Managed Package</t>
  </si>
  <si>
    <t xml:space="preserve">Task ID</t>
  </si>
  <si>
    <t xml:space="preserve">Section</t>
  </si>
  <si>
    <t xml:space="preserve">Category</t>
  </si>
  <si>
    <t xml:space="preserve">Task Name</t>
  </si>
  <si>
    <t xml:space="preserve">Description</t>
  </si>
  <si>
    <t xml:space="preserve">Tech Layer</t>
  </si>
  <si>
    <t xml:space="preserve">Priority</t>
  </si>
  <si>
    <t xml:space="preserve">Assigned To</t>
  </si>
  <si>
    <t xml:space="preserve">Sprint</t>
  </si>
  <si>
    <t xml:space="preserve">Start Date</t>
  </si>
  <si>
    <t xml:space="preserve">Due Date</t>
  </si>
  <si>
    <t xml:space="preserve">Effort (Pts)</t>
  </si>
  <si>
    <t xml:space="preserve">Total Time (hrs)</t>
  </si>
  <si>
    <t xml:space="preserve">% Complete</t>
  </si>
  <si>
    <t xml:space="preserve">Dependencies</t>
  </si>
  <si>
    <t xml:space="preserve">Notes / Blockers</t>
  </si>
  <si>
    <t xml:space="preserve">B2-T001</t>
  </si>
  <si>
    <t xml:space="preserve">B2</t>
  </si>
  <si>
    <t xml:space="preserve">Journey Orchestration</t>
  </si>
  <si>
    <t xml:space="preserve">Build ktJourneyBuilderCanvas LWC</t>
  </si>
  <si>
    <t xml:space="preserve">SVG canvas with drag/drop stage nodes, connection arrows, zoom/pan controls, undo/redo (50 steps), auto-layout algorithm, state serialisation to JSON</t>
  </si>
  <si>
    <t xml:space="preserve">LWC</t>
  </si>
  <si>
    <t xml:space="preserve">B2-T002</t>
  </si>
  <si>
    <t xml:space="preserve">Build ktJourneyStageNode LWC</t>
  </si>
  <si>
    <t xml:space="preserve">Individual stage card with type icon, settings panel, task drop zone, inline SLA config, rename, delete</t>
  </si>
  <si>
    <t xml:space="preserve">B2-T003</t>
  </si>
  <si>
    <t xml:space="preserve">Build ktTaskLibraryPanel LWC sidebar</t>
  </si>
  <si>
    <t xml:space="preserve">Drag-and-drop task palette covering all 12 task types and sub-flow library chips, filterable by domain tag</t>
  </si>
  <si>
    <t xml:space="preserve">B2-T004</t>
  </si>
  <si>
    <t xml:space="preserve">Build KT_JourneyTemplateService.cls</t>
  </si>
  <si>
    <t xml:space="preserve">Apex service: save/load/validate/version/clone journey JSON, enforce JSON schema, auto-increment version, prevent activation of invalid templates</t>
  </si>
  <si>
    <t xml:space="preserve">Apex</t>
  </si>
  <si>
    <t xml:space="preserve">B2-T007</t>
  </si>
  <si>
    <t xml:space="preserve">B2-T005</t>
  </si>
  <si>
    <t xml:space="preserve">Build ktJourneyTemplateGallery LWC</t>
  </si>
  <si>
    <t xml:space="preserve">Gallery view of all active templates: filter by domain/persona, clone creates draft copy, activate sets Status=Active, archive, preview</t>
  </si>
  <si>
    <t xml:space="preserve">B2-T006</t>
  </si>
  <si>
    <t xml:space="preserve">Build KT_JourneyBuilderController.cls</t>
  </si>
  <si>
    <t xml:space="preserve">Apex wire methods for canvas LWC: getTemplates, getTemplate, getSubFlows, saveTemplate, activateTemplate, cloneTemplate</t>
  </si>
  <si>
    <t xml:space="preserve">Create KT_Journey_Template__c and KT_Journey_Stage__c custom objects</t>
  </si>
  <si>
    <t xml:space="preserve">All fields documented in design doc: Template JSON (131k LTA), Domain/Persona picklists, Version, Status, Stage_Count, Task_Count, OWD=Private, FLS configured</t>
  </si>
  <si>
    <t xml:space="preserve">Objects / Data Model</t>
  </si>
  <si>
    <t xml:space="preserve">B2-T008</t>
  </si>
  <si>
    <t xml:space="preserve">Create KT_Task__c custom object</t>
  </si>
  <si>
    <t xml:space="preserve">All fields: Task_Type picklist (12 values), Status, Assignee, Assignee_Type, SLA_Days, Gate fields (B3/B4/B5/B6), Branch_Condition__c formula, Is_Blocking__c, Parallel_Group__c, Dependency self-lookup</t>
  </si>
  <si>
    <t xml:space="preserve">B2-T009</t>
  </si>
  <si>
    <t xml:space="preserve">Build KT_B2_TestFactory.cls + Sprint 2 unit tests</t>
  </si>
  <si>
    <t xml:space="preserve">Test data factory for all B2 objects; unit tests for ktJourneyBuilderCanvas wire methods and KT_JourneyTemplateService — min 90% coverage</t>
  </si>
  <si>
    <t xml:space="preserve">Apex Tests</t>
  </si>
  <si>
    <t xml:space="preserve">B2-T004,B2-T006</t>
  </si>
  <si>
    <t xml:space="preserve">B2-T010</t>
  </si>
  <si>
    <t xml:space="preserve">Build KT_JourneyOrchestrator.cls</t>
  </si>
  <si>
    <t xml:space="preserve">Core runtime engine: reads KT_Journey_Template__c JSON, instantiates Flow Orchestration instance, maps 6 stage types to orchestration stages, maps tasks to steps, publishes KT_Journey_Started__e. Implements Queueable, bulkification-safe</t>
  </si>
  <si>
    <t xml:space="preserve">B2-T007,B2-T008</t>
  </si>
  <si>
    <t xml:space="preserve">B2-T011</t>
  </si>
  <si>
    <t xml:space="preserve">Configure Salesforce Flow Orchestration — 6-stage master orchestration</t>
  </si>
  <si>
    <t xml:space="preserve">KT_Journey_90Day_Orchestration: 6 orchestration stages (Pre-Onboarding → Day1 → Week1 → 30Day → 60Day → 90Day), sequential and parallel steps, gate Decision nodes wired to KT_Stage_Gate_Decision_Flow</t>
  </si>
  <si>
    <t xml:space="preserve">Flow</t>
  </si>
  <si>
    <t xml:space="preserve">B2-T012</t>
  </si>
  <si>
    <t xml:space="preserve">Build parallel/sequential task execution logic in Flow Orchestration</t>
  </si>
  <si>
    <t xml:space="preserve">Concurrent orchestration steps using Parallel_Track__c field; sequential chaining; contractor (3-stage) and vendor (2-stage) orchestration variants; branch conditions evaluated per Persona</t>
  </si>
  <si>
    <t xml:space="preserve">B2-T013</t>
  </si>
  <si>
    <t xml:space="preserve">Build KT_StageGateEvaluator.cls</t>
  </si>
  <si>
    <t xml:space="preserve">Evaluates all 4 gate conditions: B3 form completion, B4 document verification, B5 identity verification, B6 compliance score vs threshold. Returns GateResult inner class with isPass + blockingReasons. Invocable method for Flow Orchestration decision step</t>
  </si>
  <si>
    <t xml:space="preserve">B2-T014</t>
  </si>
  <si>
    <t xml:space="preserve">Build KT_SLAService.cls</t>
  </si>
  <si>
    <t xml:space="preserve">SLA elapsed % calculation, breach status (Warning 80%/Breach 100%/Critical 150%), time remaining, escalation target routing. Called by scheduler and SLA Dashboard LWC wire adapter</t>
  </si>
  <si>
    <t xml:space="preserve">B2-T008,B2-T015</t>
  </si>
  <si>
    <t xml:space="preserve">B2-T015</t>
  </si>
  <si>
    <t xml:space="preserve">Create KT_SLA_Breach__c custom object + SLA tracking fields</t>
  </si>
  <si>
    <t xml:space="preserve">All fields: Name (auto-number), Task lookup, Severity picklist, Breach_Timestamp, Breach_Elapsed_Pct, Escalated_To, Resolved_Date, Resolution_Duration_Days formula, Is_Resolved. Also add SLA fields to KT_Journey_Stage__c</t>
  </si>
  <si>
    <t xml:space="preserve">B2-T016</t>
  </si>
  <si>
    <t xml:space="preserve">Build KT_SLA_Monitor_Flow — scheduled every 30 minutes</t>
  </si>
  <si>
    <t xml:space="preserve">Scheduled auto-launched flow: queries open tasks approaching SLA due date, calls KT_SLAService to calculate breach status, publishes KT_SLAWarning__e at 80%, KT_SLABreach__e at 100%, KT_SLACritical__e at 150%</t>
  </si>
  <si>
    <t xml:space="preserve">B2-T017</t>
  </si>
  <si>
    <t xml:space="preserve">Build KT_SLA_Escalation_Flow — record-triggered on SLA_Breached__c</t>
  </si>
  <si>
    <t xml:space="preserve">Record-triggered flow on KT_Task__c.SLA_Breached__c = true: determines escalation target (owner → stage owner → HR Admin → Executive), sends email + Slack notification, creates KT_SLA_Breach__c log record</t>
  </si>
  <si>
    <t xml:space="preserve">B2-T018</t>
  </si>
  <si>
    <t xml:space="preserve">Build ktSLADashboard LWC</t>
  </si>
  <si>
    <t xml:space="preserve">Real-time SLA health dashboard: open tasks by severity (On Track/Warning/Breach/Critical), escalation queue table, breach trend chart by stage and domain. Wire-connected to KT_Task__c aggregate SOQL via KT_SLAService</t>
  </si>
  <si>
    <t xml:space="preserve">B2-T019</t>
  </si>
  <si>
    <t xml:space="preserve">Build ktTaskChecklist LWC</t>
  </si>
  <si>
    <t xml:space="preserve">Interactive task checklist per stage: task name, assignee, SLA due date, status chip, links to B3 form / B4 document / B5 verification / B6 compliance check. Platform Event real-time refresh. Manual completion toggle for non-gated tasks</t>
  </si>
  <si>
    <t xml:space="preserve">B2-T020</t>
  </si>
  <si>
    <t xml:space="preserve">Build KT_Journey_Pause__c + Pause/Resume Flows</t>
  </si>
  <si>
    <t xml:space="preserve">KT_Journey_Pause__c custom object (all fields: Paused_By, Pause_Reason picklist, SLA_Extension_Days, Status). KT_Journey_Pause_Flow: freeze orchestration, set tasks to Paused. KT_Journey_Resume_Flow: reactivate + extend SLA</t>
  </si>
  <si>
    <t xml:space="preserve">B2-T021</t>
  </si>
  <si>
    <t xml:space="preserve">Build ktConditionalBranchEditor LWC</t>
  </si>
  <si>
    <t xml:space="preserve">Formula-style condition builder for journey branching: persona / domain / location / assessment score conditions. Syntax validation before save. Branch preview renders dashed path on canvas.</t>
  </si>
  <si>
    <t xml:space="preserve">B2-T022</t>
  </si>
  <si>
    <t xml:space="preserve">Build ktSLAConfigPanel LWC</t>
  </si>
  <si>
    <t xml:space="preserve">SLA days, escalation target user lookup, notification template selector, grace period config. Used at both stage-level and task-level. Embedded in ktJourneyStageNode and ktTaskLibraryPanel settings panels</t>
  </si>
  <si>
    <t xml:space="preserve">B2-T023</t>
  </si>
  <si>
    <t xml:space="preserve">Build sub-flow snap-in library</t>
  </si>
  <si>
    <t xml:space="preserve">Reusable sub-flow components: Standard NDA Signing, Background Check Bundle, IT Access Request Set, Compliance Training Pack. Each is a KT_Sub_Flow__c record with Task_List_JSON. KT_SubFlowService.cls CRUD + runtime resolver</t>
  </si>
  <si>
    <t xml:space="preserve">B2-T024</t>
  </si>
  <si>
    <t xml:space="preserve">Sprint 3 unit tests — orchestrator, gate evaluator, SLA service</t>
  </si>
  <si>
    <t xml:space="preserve">Unit tests for KT_JourneyOrchestrator, KT_StageGateEvaluator, KT_SLAService, KT_SLA flows. Minimum 90% coverage. Uses KT_B2_TestFactory for mock data</t>
  </si>
  <si>
    <t xml:space="preserve">B2-T010,B2-T013,B2-T014</t>
  </si>
  <si>
    <t xml:space="preserve">B2-T025</t>
  </si>
  <si>
    <t xml:space="preserve">Integrate B3 gate signals</t>
  </si>
  <si>
    <t xml:space="preserve">Wire KT_Form_Response__c.Status=Submitted to KT_StageGateEvaluator via record-triggered flow. On form submission: re-evaluate form gate for parent stage, advance if all gates pass</t>
  </si>
  <si>
    <t xml:space="preserve">B2-T026</t>
  </si>
  <si>
    <t xml:space="preserve">Integrate B4 gate signals</t>
  </si>
  <si>
    <t xml:space="preserve">Wire KT_Document_Request__c.Status=Verified to KT_StageGateEvaluator. Record-triggered flow on doc verification: re-evaluate document gate, publish KT_Stage_Advanced__e if all gates satisfied</t>
  </si>
  <si>
    <t xml:space="preserve">B2-T027</t>
  </si>
  <si>
    <t xml:space="preserve">Integrate B5 gate signals</t>
  </si>
  <si>
    <t xml:space="preserve">Subscribe to KT_Verification_Completed__e Platform Event. Trigger gate re-evaluation via KT_StageGateEvaluator on verification status = Passed for any verification type linked to a stage gate</t>
  </si>
  <si>
    <t xml:space="preserve">Platform Events</t>
  </si>
  <si>
    <t xml:space="preserve">B2-T028</t>
  </si>
  <si>
    <t xml:space="preserve">Integrate B6 gate signals</t>
  </si>
  <si>
    <t xml:space="preserve">Subscribe to KT_Compliance_Scored__e Platform Event. Evaluate compliance score against stage threshold (Gate_Compliance_Threshold__c). Advance stage gate if score &gt;= threshold</t>
  </si>
  <si>
    <t xml:space="preserve">B2-T029</t>
  </si>
  <si>
    <t xml:space="preserve">Build ktBulkJourneyManager LWC + KT_BulkJourneyService.cls</t>
  </si>
  <si>
    <t xml:space="preserve">Multi-select table of up to 500 active journeys. Bulk actions: Launch, Pause, Resume, Advance Stage, Re-assign Owner. KT_BulkJourneyService uses Queueable chaining (50 records per job) to stay within governor limits</t>
  </si>
  <si>
    <t xml:space="preserve">B2-T010,B2-T020</t>
  </si>
  <si>
    <t xml:space="preserve">B2-T030</t>
  </si>
  <si>
    <t xml:space="preserve">Build KT_JourneyReTriggerService.cls</t>
  </si>
  <si>
    <t xml:space="preserve">Re-trigger a completed or skipped stage: creates new stage/task records, preserves audit trail, resets gate flags, increments Re_trigger_Count__c, prevents infinite loops (max 3 re-triggers per stage)</t>
  </si>
  <si>
    <t xml:space="preserve">B2-T031</t>
  </si>
  <si>
    <t xml:space="preserve">Wire B7 portal task list to ktTaskChecklist via Experience Cloud</t>
  </si>
  <si>
    <t xml:space="preserve">Wire ktTaskChecklist LWC to Experience Cloud guest/authenticated user context via @wire adapter. Filters tasks by Onboardee contact ID. Real-time updates via KT_Stage_Advanced__e subscription</t>
  </si>
  <si>
    <t xml:space="preserve">Experience Cloud</t>
  </si>
  <si>
    <t xml:space="preserve">B2-T032</t>
  </si>
  <si>
    <t xml:space="preserve">Publish KT_Journey_Completed__e on 90-Day stage close</t>
  </si>
  <si>
    <t xml:space="preserve">On 90-Day orchestration stage completion: publish KT_Journey_Completed__e with total duration, SLA breach count. Triggers B4 document archive, B10 final analytics update, Data Cloud profile completion flag</t>
  </si>
  <si>
    <t xml:space="preserve">B2-T033</t>
  </si>
  <si>
    <t xml:space="preserve">UAT — HR team creates journeys for 3 domains, tests branching and SLA</t>
  </si>
  <si>
    <t xml:space="preserve">Structured UAT: Healthcare New Employee, FinServ Contractor, Retail Vendor personas. Test conditional branching, SLA breach escalation, pause/resume state preservation, gate evaluation with all 4 gate types, bulk operations</t>
  </si>
  <si>
    <t xml:space="preserve">UAT</t>
  </si>
  <si>
    <t xml:space="preserve">B2-T025,B2-T026,B2-T027,B2-T028</t>
  </si>
  <si>
    <t xml:space="preserve">B2-T034</t>
  </si>
  <si>
    <t xml:space="preserve">Expose kt_get_journey_status MCP tool</t>
  </si>
  <si>
    <t xml:space="preserve">Apex REST resource (WITH SHARING, JWT auth): input onboarding_id + include_tasks + stage_filter; output JSON stage array, completion %, next_action. 30s response cache. Register in Vibes 2.0 Unified Catalog</t>
  </si>
  <si>
    <t xml:space="preserve">Agentforce / MCP</t>
  </si>
  <si>
    <t xml:space="preserve">B2-T035</t>
  </si>
  <si>
    <t xml:space="preserve">Expose kt_advance_journey_stage MCP tool</t>
  </si>
  <si>
    <t xml:space="preserve">Apex action: input onboarding_id + stage_id + force_advance + advance_reason. Calls KT_StageGateEvaluator unless force_advance=true. Every advance logged to KT_Journey_Audit__c with agent identity. Restricted to KT_JourneyAdmin permission set</t>
  </si>
  <si>
    <t xml:space="preserve">B2-T036</t>
  </si>
  <si>
    <t xml:space="preserve">Expose kt_get_overdue_journeys MCP tool</t>
  </si>
  <si>
    <t xml:space="preserve">Apex REST: input domain + days_overdue; output list of journeys where any stage SLA_Elapsed_Pct &gt; threshold. Used by HR Copilot for proactive breach surfacing and daily digest generation</t>
  </si>
  <si>
    <t xml:space="preserve">B2-T037</t>
  </si>
  <si>
    <t xml:space="preserve">Agent Script: Stage Gate Evaluator block (deterministic)</t>
  </si>
  <si>
    <t xml:space="preserve">Deterministic Agent Script block (zero LLM calls). Triggered on advance intent. Calls KT_StageGateEvaluator via Apex Action. Returns structured blocking reason list rendered as natural language by HR Copilot. All logic is pure rules-based Apex.</t>
  </si>
  <si>
    <t xml:space="preserve">Agent Script</t>
  </si>
  <si>
    <t xml:space="preserve">B2-T013,B2-T035</t>
  </si>
  <si>
    <t xml:space="preserve">B2-T038</t>
  </si>
  <si>
    <t xml:space="preserve">Migrate Journey Builder agents to Vibes 2.0 Unified Catalog</t>
  </si>
  <si>
    <t xml:space="preserve">Register KT_Journey_Stage__c + KT_Task__c as Unified Catalog context objects. Register kt_get_journey_status, kt_advance_journey_stage, kt_get_overdue_journeys tools with capability descriptions and I/O schemas. Register KT_SLABreach__e event feed for HR Copilot proactive alerts</t>
  </si>
  <si>
    <t xml:space="preserve">B2-T034,B2-T035,B2-T036</t>
  </si>
  <si>
    <t xml:space="preserve">B2-T039</t>
  </si>
  <si>
    <t xml:space="preserve">AXL: kt_journey_progress_card</t>
  </si>
  <si>
    <t xml:space="preserve">Slack/Teams AXL card: current stage, completion %, SLA status bar, next required action, direct link to HR Admin journey view. Auto-posted to manager's Slack on each stage advance via KT_Stage_Advanced__e subscription</t>
  </si>
  <si>
    <t xml:space="preserve">B2-T040</t>
  </si>
  <si>
    <t xml:space="preserve">AXL: kt_sla_alert_card</t>
  </si>
  <si>
    <t xml:space="preserve">SLA breach alert AXL card: breached task name, assignee, elapsed %, days overdue, escalate and reassign action buttons. Fires on KT_SLABreach__e. Respects Einstein Trust Layer — no PII in card title</t>
  </si>
  <si>
    <t xml:space="preserve">B2-T041</t>
  </si>
  <si>
    <t xml:space="preserve">AXL: kt_task_action_card</t>
  </si>
  <si>
    <t xml:space="preserve">Task activation notification AXL card: task name, due date, action button linking to B7 portal form/document/verification step. Supports quick-complete for manual Task_Type tasks directly from Slack/Teams</t>
  </si>
  <si>
    <t xml:space="preserve">B2-T042</t>
  </si>
  <si>
    <t xml:space="preserve">React Journey Builder canvas</t>
  </si>
  <si>
    <t xml:space="preserve">React component using Vibes 2.0 React runtime: production-parity feature set with LWC canvas (drag/drop, sub-flow insert, conditional branch, SLA config). Feature-flagged A/B vs LWC canvas per org.</t>
  </si>
  <si>
    <t xml:space="preserve">B2-T001,B2-T038</t>
  </si>
  <si>
    <t xml:space="preserve">B2-T043</t>
  </si>
  <si>
    <t xml:space="preserve">AXL: kt_bulk_status_summary — daily digest</t>
  </si>
  <si>
    <t xml:space="preserve">Daily digest AXL card for HR Managers: total active journeys, stage distribution, SLA breach count, top 3 blocked journeys by days overdue. Sent at 8 AM local time via KT_SLAScheduler</t>
  </si>
  <si>
    <t xml:space="preserve">B2-T044</t>
  </si>
  <si>
    <t xml:space="preserve">Custom Scoring Evals for journey gate accuracy</t>
  </si>
  <si>
    <t xml:space="preserve">Early Access: custom evaluation framework measuring gate evaluation accuracy — false positives/negatives on stage advance decisions. Feeds back to Agent Script block tuning</t>
  </si>
  <si>
    <t xml:space="preserve">B2-T037,B2-T042</t>
  </si>
  <si>
    <t xml:space="preserve">KT Onboarding Enterprise — B2 Onboarding Journey Builder | Sprint Plan</t>
  </si>
  <si>
    <t xml:space="preserve">Sprint delivery mapped to B2 feature areas | Sprint 2 → Sprint 9</t>
  </si>
  <si>
    <t xml:space="preserve">Theme</t>
  </si>
  <si>
    <t xml:space="preserve">Total B2 Tasks</t>
  </si>
  <si>
    <t xml:space="preserve">P1 Tasks</t>
  </si>
  <si>
    <t xml:space="preserve">P2 Tasks</t>
  </si>
  <si>
    <t xml:space="preserve">Key B2 Deliverables</t>
  </si>
  <si>
    <t xml:space="preserve">Headless 360 Notes</t>
  </si>
  <si>
    <t xml:space="preserve">Key Dependencies</t>
  </si>
  <si>
    <t xml:space="preserve">ktJourneyBuilderCanvas LWC (SVG drag/drop), ktJourneyStageNode, ktTaskLibraryPanel, KT_JourneyTemplateService.cls, ktJourneyTemplateGallery, KT_Journey_Template__c &amp; KT_Journey_Stage__c &amp; KT_Task__c objects, Sprint 2 unit tests</t>
  </si>
  <si>
    <t xml:space="preserve">No Headless 360 items in Sprint 2</t>
  </si>
  <si>
    <t xml:space="preserve">B1 must have created KT_Journey_Stage__c and KT_Task__c records before B2 canvas is testable</t>
  </si>
  <si>
    <t xml:space="preserve">KT_JourneyOrchestrator.cls, 90-Day Flow Orchestration (6 stages), parallel execution, KT_StageGateEvaluator.cls, KT_SLAService.cls, KT_SLA_Breach__c object, SLA Monitor/Escalation Flows, ktSLADashboard, ktTaskChecklist, Pause/Resume, ktConditionalBranchEditor, sub-flow library</t>
  </si>
  <si>
    <t xml:space="preserve">No Headless 360 items in Sprint 3</t>
  </si>
  <si>
    <t xml:space="preserve">B1 DIE fully operational (Sprint 2); Flow Orchestration licence enabled in org</t>
  </si>
  <si>
    <t xml:space="preserve">B3/B4/B5/B6 gate signal integrations, ktBulkJourneyManager LWC, KT_BulkJourneyService.cls, KT_JourneyReTriggerService.cls, B7 portal wire, KT_Journey_Completed__e publish, UAT across 3 domains</t>
  </si>
  <si>
    <t xml:space="preserve">No Headless 360 items in Sprints 4-6</t>
  </si>
  <si>
    <t xml:space="preserve">B3 Smart Forms (Sprint 3), B4 Document CLM (Sprint 4), B5 Verification (Sprint 5), B6 Compliance (Sprint 2) must be deployed</t>
  </si>
  <si>
    <t xml:space="preserve">kt_get_journey_status MCP tool, kt_advance_journey_stage MCP tool, kt_get_overdue_journeys MCP tool, Agent Script Stage Gate Evaluator (deterministic), Vibes 2.0 Unified Catalog registration, kt_journey_progress_card AXL, kt_sla_alert_card AXL, kt_task_action_card AXL</t>
  </si>
  <si>
    <t xml:space="preserve">B2 is a primary Sprint 7 contributor: 3 MCP tools + 3 AXL cards + 1 Agent Script block. All agents migrated to Vibes 2.0. SLABreach event feed registered as proactive HR Copilot alert.</t>
  </si>
  <si>
    <t xml:space="preserve">All B2 runtime tasks (Sprint 3) complete; MuleSoft Agent Registry configured (B11 Sprint 7)</t>
  </si>
  <si>
    <t xml:space="preserve">React Journey Builder canvas (Vibes 2.0 React runtime), kt_bulk_status_summary AXL daily digest, Custom Scoring Evals for gate accuracy (Early Access)</t>
  </si>
  <si>
    <t xml:space="preserve">React canvas uses Vibes 2.0 natural language journey generation — text description → template JSON via LLM. A/B feature flag vs LWC canvas per org.</t>
  </si>
  <si>
    <t xml:space="preserve">Sprint 7 Vibes 2.0 Unified Catalog registration complete; React Vibes 2.0 Early Access enabled</t>
  </si>
  <si>
    <t xml:space="preserve">KT B2 — Cross-Feature Integration Reference</t>
  </si>
  <si>
    <t xml:space="preserve">Gate signal integrations and downstream consumers for B2 Onboarding Journey Builder</t>
  </si>
  <si>
    <t xml:space="preserve">Feature</t>
  </si>
  <si>
    <t xml:space="preserve">Direction</t>
  </si>
  <si>
    <t xml:space="preserve">Integration Point</t>
  </si>
  <si>
    <t xml:space="preserve">Mechanism</t>
  </si>
  <si>
    <t xml:space="preserve">Notes</t>
  </si>
  <si>
    <t xml:space="preserve">B1 — Domain Intelligence Engine</t>
  </si>
  <si>
    <t xml:space="preserve">→ B2 RECEIVES</t>
  </si>
  <si>
    <t xml:space="preserve">KT_Journey_Stage__c + KT_Task__c records created on KT_Onboarding__c insert; KT_Journey_Template__c ID populated</t>
  </si>
  <si>
    <t xml:space="preserve">B1 Apex trigger creates records; KT_JourneyOrchestrator reads on KT_Onboarding__c after-insert</t>
  </si>
  <si>
    <t xml:space="preserve">Sprint 1–2</t>
  </si>
  <si>
    <t xml:space="preserve">B1 is the only upstream input to B2. Without B1, no journey can be instantiated. B1 must be fully operational before B2 runtime testing.</t>
  </si>
  <si>
    <t xml:space="preserve">B3 — Smart Form Builder</t>
  </si>
  <si>
    <t xml:space="preserve">→ B2 RECEIVES (gate signal)</t>
  </si>
  <si>
    <t xml:space="preserve">KT_Form_Response__c.Status = Submitted for forms linked to task Gate_Form_ID__c</t>
  </si>
  <si>
    <t xml:space="preserve">Record-Triggered Flow on KT_Form_Response__c insert/update; calls KT_StageGateEvaluator.cls</t>
  </si>
  <si>
    <t xml:space="preserve">Sprint 4</t>
  </si>
  <si>
    <t xml:space="preserve">Form gate re-evaluated on each submission. Stage advances if all 4 gates now satisfied.</t>
  </si>
  <si>
    <t xml:space="preserve">B4 — Document CLM</t>
  </si>
  <si>
    <t xml:space="preserve">KT_Document_Request__c.Status = Verified for document types matching Gate_Document_Type__c on KT_Task__c</t>
  </si>
  <si>
    <t xml:space="preserve">Record-Triggered Flow on KT_Document_Request__c update; gate re-evaluation</t>
  </si>
  <si>
    <t xml:space="preserve">Document gate unblocks stage when all required document types verified. Cascade to KT_Stage_Advanced__e if all gates pass.</t>
  </si>
  <si>
    <t xml:space="preserve">B5 — Identity &amp; Credential Verification</t>
  </si>
  <si>
    <t xml:space="preserve">KT_Verification__c.Status = Passed for verification types matching Gate_Verification_Type__c</t>
  </si>
  <si>
    <t xml:space="preserve">KT_Verification_Completed__e Platform Event subscription; triggers KT_StageGateEvaluator</t>
  </si>
  <si>
    <t xml:space="preserve">Sprint 5</t>
  </si>
  <si>
    <t xml:space="preserve">Verification gate evaluated on Platform Event receipt. Background check cleared = gate passes for that type.</t>
  </si>
  <si>
    <t xml:space="preserve">B6 — Compliance Engine</t>
  </si>
  <si>
    <t xml:space="preserve">KT_Compliance_Check__c compliance score updates; score evaluated against Gate_Compliance_Threshold__c on KT_Journey_Stage__c</t>
  </si>
  <si>
    <t xml:space="preserve">KT_Compliance_Scored__e Platform Event; KT_StageGateEvaluator checks score &gt;= threshold</t>
  </si>
  <si>
    <t xml:space="preserve">Compliance gate is the final gate — only evaluated after form/doc/verification gates pass. Minimum score is per-stage configurable.</t>
  </si>
  <si>
    <t xml:space="preserve">B2 GIVES →</t>
  </si>
  <si>
    <t xml:space="preserve">KT_Task__c records with Task_Type=Form and Gate_Form_ID__c set — tells B3 which form to surface per task; stage activation notifies B3</t>
  </si>
  <si>
    <t xml:space="preserve">KT_Journey_Started__e + KT_Stage_Advanced__e event subscriptions in B3</t>
  </si>
  <si>
    <t xml:space="preserve">B2 provides the 'what form is needed' signal. B3 owns form rendering and submission. B2 only reads completion status.</t>
  </si>
  <si>
    <t xml:space="preserve">KT_Task__c records with Gate_Document_Type__c set — tells B4 which document types to request for each stage; journey context for document naming</t>
  </si>
  <si>
    <t xml:space="preserve">KT_Task__c record insert (on journey instantiation); KT_Stage_Advanced__e event</t>
  </si>
  <si>
    <t xml:space="preserve">B2 provides required document type list. B4 owns document generation, e-sign, and vault storage. B2 only reads verification status.</t>
  </si>
  <si>
    <t xml:space="preserve">KT_Task__c records with Gate_Verification_Type__c — triggers B5 to initiate verification workflows; Pre-Onboarding stage activation = start verifications</t>
  </si>
  <si>
    <t xml:space="preserve">KT_Task__c insert; KT_Journey_Started__e event triggers B5 verification orchestrator</t>
  </si>
  <si>
    <t xml:space="preserve">Pre-Onboarding stage activating is the signal for B5 to begin identity/background check orchestration.</t>
  </si>
  <si>
    <t xml:space="preserve">Stage advance signals — tells B6 a new stage is active, compliance checks for that stage should begin; compliance threshold passed from stage definition</t>
  </si>
  <si>
    <t xml:space="preserve">KT_Stage_Advanced__e Platform Event subscription in B6</t>
  </si>
  <si>
    <t xml:space="preserve">Each stage activation triggers B6 to evaluate applicable compliance rules for that stage type + domain + persona combination.</t>
  </si>
  <si>
    <t xml:space="preserve">B7 — Onboardee Portal</t>
  </si>
  <si>
    <t xml:space="preserve">Live journey status: all stages + tasks with statuses, due dates, completion. Stage advance notifications. Real-time task checklist for onboardee self-service.</t>
  </si>
  <si>
    <t xml:space="preserve">KT_Journey_Started__e + KT_Stage_Advanced__e events; ktTaskChecklist LWC wired via Experience Cloud</t>
  </si>
  <si>
    <t xml:space="preserve">B7 portal is the onboardee's view of B2 data. ktTaskChecklist LWC is shared between HR Admin App and B7 Experience Cloud portal.</t>
  </si>
  <si>
    <t xml:space="preserve">B8 — IT &amp; Equipment Provisioning</t>
  </si>
  <si>
    <t xml:space="preserve">KT_Task__c records with Task_Type=IT — triggers B8 to initiate system access and equipment provisioning workflows</t>
  </si>
  <si>
    <t xml:space="preserve">KT_Task__c insert (record-triggered flow) + KT_Stage_Advanced__e</t>
  </si>
  <si>
    <t xml:space="preserve">IT tasks in Pre-Onboarding stage automatically trigger B8 provisioning flows. Start date from KT_Onboarding__c drives provisioning timeline.</t>
  </si>
  <si>
    <t xml:space="preserve">B9 — Training &amp; LMS</t>
  </si>
  <si>
    <t xml:space="preserve">KT_Task__c records with Task_Type=Training — triggers B9 to enroll onboardee in required courses on Week 1 and review stage activations</t>
  </si>
  <si>
    <t xml:space="preserve">KT_Task__c insert + KT_Stage_Advanced__e for Week 1 and 30/60/90-Day stages</t>
  </si>
  <si>
    <t xml:space="preserve">Training enrollment is stage-triggered. Week 1 activation = mandatory training. 30-Day activation = progress check and additional courses.</t>
  </si>
  <si>
    <t xml:space="preserve">B10 — Analytics &amp; Reporting</t>
  </si>
  <si>
    <t xml:space="preserve">All KT_Journey_Stage__c, KT_Task__c, KT_SLA_Breach__c records + all 7 B2 Platform Events for real-time dashboard updates</t>
  </si>
  <si>
    <t xml:space="preserve">Direct object queries (B10 CRM Analytics) + Platform Event subscriptions</t>
  </si>
  <si>
    <t xml:space="preserve">Sprint 6</t>
  </si>
  <si>
    <t xml:space="preserve">B10 is a pure consumer of B2 data. No gate signals flow back from B10 to B2. B10 queries live B2 objects for all KPIs.</t>
  </si>
  <si>
    <t xml:space="preserve">B11 — Integrations &amp; Open API</t>
  </si>
  <si>
    <t xml:space="preserve">kt_get_journey_status + kt_advance_journey_stage + kt_get_overdue_journeys MCP tools exposed via Flex Gateway for external system consumption</t>
  </si>
  <si>
    <t xml:space="preserve">MCP tool REST endpoints registered in Vibes 2.0 Unified Catalog + MuleSoft Agent Registry</t>
  </si>
  <si>
    <t xml:space="preserve">External HR systems can query journey status and advance stages programmatically via KT Open API using the MCP tool endpoints.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</si>
</sst>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0B6E6E"/>
      <name val="Arial"/>
      <family val="0"/>
      <charset val="1"/>
    </font>
    <font>
      <b val="true"/>
      <sz val="9"/>
      <color rgb="FF856400"/>
      <name val="Arial"/>
      <family val="0"/>
      <charset val="1"/>
    </font>
    <font>
      <b val="true"/>
      <sz val="9"/>
      <color rgb="FF5B2D87"/>
      <name val="Arial"/>
      <family val="0"/>
      <charset val="1"/>
    </font>
    <font>
      <b val="true"/>
      <sz val="9"/>
      <color rgb="FF4B0082"/>
      <name val="Arial"/>
      <family val="0"/>
      <charset val="1"/>
    </font>
    <font>
      <b val="true"/>
      <sz val="9"/>
      <color rgb="FF7D4E00"/>
      <name val="Arial"/>
      <family val="0"/>
      <charset val="1"/>
    </font>
    <font>
      <i val="true"/>
      <sz val="9"/>
      <color rgb="FF0B6E6E"/>
      <name val="Arial"/>
      <family val="0"/>
      <charset val="1"/>
    </font>
    <font>
      <i val="true"/>
      <sz val="9"/>
      <color rgb="FF856400"/>
      <name val="Arial"/>
      <family val="0"/>
      <charset val="1"/>
    </font>
    <font>
      <i val="true"/>
      <sz val="9"/>
      <color rgb="FF5B2D87"/>
      <name val="Arial"/>
      <family val="0"/>
      <charset val="1"/>
    </font>
    <font>
      <i val="true"/>
      <sz val="9"/>
      <color rgb="FF4B0082"/>
      <name val="Arial"/>
      <family val="0"/>
      <charset val="1"/>
    </font>
    <font>
      <i val="true"/>
      <sz val="9"/>
      <color rgb="FF7D4E00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9"/>
      <color rgb="FF7D5A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555555"/>
      <name val="Arial"/>
      <family val="0"/>
      <charset val="1"/>
    </font>
    <font>
      <sz val="9"/>
      <color rgb="FF0B6E6E"/>
      <name val="Arial"/>
      <family val="0"/>
      <charset val="1"/>
    </font>
    <font>
      <sz val="9"/>
      <color rgb="FF856400"/>
      <name val="Arial"/>
      <family val="0"/>
      <charset val="1"/>
    </font>
    <font>
      <sz val="9"/>
      <color rgb="FF5B2D87"/>
      <name val="Arial"/>
      <family val="0"/>
      <charset val="1"/>
    </font>
    <font>
      <sz val="9"/>
      <color rgb="FF4B0082"/>
      <name val="Arial"/>
      <family val="0"/>
      <charset val="1"/>
    </font>
    <font>
      <sz val="9"/>
      <color rgb="FF7D4E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333333"/>
      </patternFill>
    </fill>
    <fill>
      <patternFill patternType="solid">
        <fgColor rgb="FF0B6E6E"/>
        <bgColor rgb="FF008080"/>
      </patternFill>
    </fill>
    <fill>
      <patternFill patternType="solid">
        <fgColor rgb="FFF7F9FF"/>
        <bgColor rgb="FFFFFFFF"/>
      </patternFill>
    </fill>
    <fill>
      <patternFill patternType="solid">
        <fgColor rgb="FFFFFFFF"/>
        <bgColor rgb="FFF7F9FF"/>
      </patternFill>
    </fill>
    <fill>
      <patternFill patternType="solid">
        <fgColor rgb="FFE8F8F5"/>
        <bgColor rgb="FFE8F0F8"/>
      </patternFill>
    </fill>
    <fill>
      <patternFill patternType="solid">
        <fgColor rgb="FFFEF9E7"/>
        <bgColor rgb="FFFFFDE7"/>
      </patternFill>
    </fill>
    <fill>
      <patternFill patternType="solid">
        <fgColor rgb="FFF4ECF7"/>
        <bgColor rgb="FFF0F0F0"/>
      </patternFill>
    </fill>
    <fill>
      <patternFill patternType="solid">
        <fgColor rgb="FFE2D5F1"/>
        <bgColor rgb="FFD9D9D9"/>
      </patternFill>
    </fill>
    <fill>
      <patternFill patternType="solid">
        <fgColor rgb="FFFAEEDA"/>
        <bgColor rgb="FFFFF3CD"/>
      </patternFill>
    </fill>
    <fill>
      <patternFill patternType="solid">
        <fgColor rgb="FFFFD7D7"/>
        <bgColor rgb="FFFAEEDA"/>
      </patternFill>
    </fill>
    <fill>
      <patternFill patternType="solid">
        <fgColor rgb="FFFFF3CD"/>
        <bgColor rgb="FFFAEEDA"/>
      </patternFill>
    </fill>
    <fill>
      <patternFill patternType="solid">
        <fgColor rgb="FFFFFDE7"/>
        <bgColor rgb="FFFEF9E7"/>
      </patternFill>
    </fill>
    <fill>
      <patternFill patternType="solid">
        <fgColor rgb="FFF0F0F0"/>
        <bgColor rgb="FFF4ECF7"/>
      </patternFill>
    </fill>
    <fill>
      <patternFill patternType="solid">
        <fgColor rgb="FFE8F0F8"/>
        <bgColor rgb="FFF0F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1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1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1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B3A6B"/>
          <bgColor rgb="FF000000"/>
        </patternFill>
      </fill>
    </dxf>
    <dxf>
      <fill>
        <patternFill patternType="solid">
          <fgColor rgb="FFE2D5F1"/>
          <bgColor rgb="FF000000"/>
        </patternFill>
      </fill>
    </dxf>
    <dxf>
      <fill>
        <patternFill patternType="solid">
          <fgColor rgb="FFE8F8F5"/>
          <bgColor rgb="FF000000"/>
        </patternFill>
      </fill>
    </dxf>
    <dxf>
      <fill>
        <patternFill patternType="solid">
          <fgColor rgb="FFF4ECF7"/>
          <bgColor rgb="FF000000"/>
        </patternFill>
      </fill>
    </dxf>
    <dxf>
      <fill>
        <patternFill patternType="solid">
          <fgColor rgb="FFFAEEDA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7D5A00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E8F0F8"/>
          <bgColor rgb="FF000000"/>
        </patternFill>
      </fill>
    </dxf>
    <dxf>
      <fill>
        <patternFill patternType="solid">
          <fgColor rgb="FF0B6E6E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856400"/>
      <rgbColor rgb="FF800080"/>
      <rgbColor rgb="FF0B6E6E"/>
      <rgbColor rgb="FFD9D9D9"/>
      <rgbColor rgb="FF808080"/>
      <rgbColor rgb="FF9999FF"/>
      <rgbColor rgb="FF7D5A00"/>
      <rgbColor rgb="FFFFFDE7"/>
      <rgbColor rgb="FFE8F8F5"/>
      <rgbColor rgb="FF4B0082"/>
      <rgbColor rgb="FFFF8080"/>
      <rgbColor rgb="FF0066CC"/>
      <rgbColor rgb="FFE2D5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8"/>
      <rgbColor rgb="FFF0F0F0"/>
      <rgbColor rgb="FFFFF3CD"/>
      <rgbColor rgb="FFF4ECF7"/>
      <rgbColor rgb="FFFAEEDA"/>
      <rgbColor rgb="FFF7F9FF"/>
      <rgbColor rgb="FFFFD7D7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A6B"/>
      <rgbColor rgb="FF339966"/>
      <rgbColor rgb="FF003300"/>
      <rgbColor rgb="FF333300"/>
      <rgbColor rgb="FF7D4E00"/>
      <rgbColor rgb="FF993366"/>
      <rgbColor rgb="FF5B2D8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5" min="3" style="0" width="16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3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4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27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21.75" hidden="false" customHeight="true" outlineLevel="0" collapsed="false">
      <c r="A6" s="6" t="s">
        <v>11</v>
      </c>
      <c r="B6" s="7" t="s">
        <v>12</v>
      </c>
      <c r="C6" s="6" t="n">
        <f aca="false">COUNTIF('📋 All Tasks'!C:C,"B2.1")</f>
        <v>7</v>
      </c>
      <c r="D6" s="6" t="n">
        <f aca="false">SUMIF('📋 All Tasks'!C:C,"B2.1",'📋 All Tasks'!O:O)</f>
        <v>32</v>
      </c>
      <c r="E6" s="6" t="n">
        <f aca="false">COUNTIFS('📋 All Tasks'!C:C,"B2.1",'📋 All Tasks'!I:I,"P1 - Critical")</f>
        <v>3</v>
      </c>
      <c r="F6" s="6" t="n">
        <f aca="false">COUNTIFS('📋 All Tasks'!C:C,"B2.1",'📋 All Tasks'!I:I,"P2 - High")</f>
        <v>4</v>
      </c>
      <c r="G6" s="6" t="n">
        <f aca="false">COUNTIFS('📋 All Tasks'!C:C,"B2.1",'📋 All Tasks'!I:I,"P3 - Medium")+COUNTIFS('📋 All Tasks'!C:C,"B2.1",'📋 All Tasks'!I:I,"P4 - Low")</f>
        <v>0</v>
      </c>
      <c r="H6" s="6" t="s">
        <v>13</v>
      </c>
    </row>
    <row r="7" customFormat="false" ht="21.75" hidden="false" customHeight="true" outlineLevel="0" collapsed="false">
      <c r="A7" s="8" t="s">
        <v>14</v>
      </c>
      <c r="B7" s="9" t="s">
        <v>15</v>
      </c>
      <c r="C7" s="8" t="n">
        <f aca="false">COUNTIF('📋 All Tasks'!C:C,"B2.2")</f>
        <v>6</v>
      </c>
      <c r="D7" s="8" t="n">
        <f aca="false">SUMIF('📋 All Tasks'!C:C,"B2.2",'📋 All Tasks'!O:O)</f>
        <v>37</v>
      </c>
      <c r="E7" s="8" t="n">
        <f aca="false">COUNTIFS('📋 All Tasks'!C:C,"B2.2",'📋 All Tasks'!I:I,"P1 - Critical")</f>
        <v>6</v>
      </c>
      <c r="F7" s="8" t="n">
        <f aca="false">COUNTIFS('📋 All Tasks'!C:C,"B2.2",'📋 All Tasks'!I:I,"P2 - High")</f>
        <v>0</v>
      </c>
      <c r="G7" s="8" t="n">
        <f aca="false">COUNTIFS('📋 All Tasks'!C:C,"B2.2",'📋 All Tasks'!I:I,"P3 - Medium")+COUNTIFS('📋 All Tasks'!C:C,"B2.2",'📋 All Tasks'!I:I,"P4 - Low")</f>
        <v>0</v>
      </c>
      <c r="H7" s="8" t="s">
        <v>13</v>
      </c>
    </row>
    <row r="8" customFormat="false" ht="21.75" hidden="false" customHeight="true" outlineLevel="0" collapsed="false">
      <c r="A8" s="6" t="s">
        <v>16</v>
      </c>
      <c r="B8" s="7" t="s">
        <v>17</v>
      </c>
      <c r="C8" s="6" t="n">
        <f aca="false">COUNTIF('📋 All Tasks'!C:C,"B2.3")</f>
        <v>3</v>
      </c>
      <c r="D8" s="6" t="n">
        <f aca="false">SUMIF('📋 All Tasks'!C:C,"B2.3",'📋 All Tasks'!O:O)</f>
        <v>8</v>
      </c>
      <c r="E8" s="6" t="n">
        <f aca="false">COUNTIFS('📋 All Tasks'!C:C,"B2.3",'📋 All Tasks'!I:I,"P1 - Critical")</f>
        <v>3</v>
      </c>
      <c r="F8" s="6" t="n">
        <f aca="false">COUNTIFS('📋 All Tasks'!C:C,"B2.3",'📋 All Tasks'!I:I,"P2 - High")</f>
        <v>0</v>
      </c>
      <c r="G8" s="6" t="n">
        <f aca="false">COUNTIFS('📋 All Tasks'!C:C,"B2.3",'📋 All Tasks'!I:I,"P3 - Medium")+COUNTIFS('📋 All Tasks'!C:C,"B2.3",'📋 All Tasks'!I:I,"P4 - Low")</f>
        <v>0</v>
      </c>
      <c r="H8" s="6" t="s">
        <v>13</v>
      </c>
    </row>
    <row r="9" customFormat="false" ht="21.75" hidden="false" customHeight="true" outlineLevel="0" collapsed="false">
      <c r="A9" s="8" t="s">
        <v>18</v>
      </c>
      <c r="B9" s="9" t="s">
        <v>19</v>
      </c>
      <c r="C9" s="8" t="n">
        <f aca="false">COUNTIF('📋 All Tasks'!C:C,"B2.4")</f>
        <v>4</v>
      </c>
      <c r="D9" s="8" t="n">
        <f aca="false">SUMIF('📋 All Tasks'!C:C,"B2.4",'📋 All Tasks'!O:O)</f>
        <v>18</v>
      </c>
      <c r="E9" s="8" t="n">
        <f aca="false">COUNTIFS('📋 All Tasks'!C:C,"B2.4",'📋 All Tasks'!I:I,"P1 - Critical")</f>
        <v>3</v>
      </c>
      <c r="F9" s="8" t="n">
        <f aca="false">COUNTIFS('📋 All Tasks'!C:C,"B2.4",'📋 All Tasks'!I:I,"P2 - High")</f>
        <v>1</v>
      </c>
      <c r="G9" s="8" t="n">
        <f aca="false">COUNTIFS('📋 All Tasks'!C:C,"B2.4",'📋 All Tasks'!I:I,"P3 - Medium")+COUNTIFS('📋 All Tasks'!C:C,"B2.4",'📋 All Tasks'!I:I,"P4 - Low")</f>
        <v>0</v>
      </c>
      <c r="H9" s="8" t="s">
        <v>13</v>
      </c>
    </row>
    <row r="10" customFormat="false" ht="21.75" hidden="false" customHeight="true" outlineLevel="0" collapsed="false">
      <c r="A10" s="6" t="s">
        <v>20</v>
      </c>
      <c r="B10" s="7" t="s">
        <v>21</v>
      </c>
      <c r="C10" s="6" t="n">
        <f aca="false">COUNTIF('📋 All Tasks'!C:C,"B2.5")</f>
        <v>6</v>
      </c>
      <c r="D10" s="6" t="n">
        <f aca="false">SUMIF('📋 All Tasks'!C:C,"B2.5",'📋 All Tasks'!O:O)</f>
        <v>18</v>
      </c>
      <c r="E10" s="6" t="n">
        <f aca="false">COUNTIFS('📋 All Tasks'!C:C,"B2.5",'📋 All Tasks'!I:I,"P1 - Critical")</f>
        <v>5</v>
      </c>
      <c r="F10" s="6" t="n">
        <f aca="false">COUNTIFS('📋 All Tasks'!C:C,"B2.5",'📋 All Tasks'!I:I,"P2 - High")</f>
        <v>1</v>
      </c>
      <c r="G10" s="6" t="n">
        <f aca="false">COUNTIFS('📋 All Tasks'!C:C,"B2.5",'📋 All Tasks'!I:I,"P3 - Medium")+COUNTIFS('📋 All Tasks'!C:C,"B2.5",'📋 All Tasks'!I:I,"P4 - Low")</f>
        <v>0</v>
      </c>
      <c r="H10" s="6" t="s">
        <v>13</v>
      </c>
    </row>
    <row r="11" customFormat="false" ht="21.75" hidden="false" customHeight="true" outlineLevel="0" collapsed="false">
      <c r="A11" s="8" t="s">
        <v>22</v>
      </c>
      <c r="B11" s="9" t="s">
        <v>23</v>
      </c>
      <c r="C11" s="8" t="n">
        <f aca="false">COUNTIF('📋 All Tasks'!C:C,"B2.6")</f>
        <v>4</v>
      </c>
      <c r="D11" s="8" t="n">
        <f aca="false">SUMIF('📋 All Tasks'!C:C,"B2.6",'📋 All Tasks'!O:O)</f>
        <v>20</v>
      </c>
      <c r="E11" s="8" t="n">
        <f aca="false">COUNTIFS('📋 All Tasks'!C:C,"B2.6",'📋 All Tasks'!I:I,"P1 - Critical")</f>
        <v>0</v>
      </c>
      <c r="F11" s="8" t="n">
        <f aca="false">COUNTIFS('📋 All Tasks'!C:C,"B2.6",'📋 All Tasks'!I:I,"P2 - High")</f>
        <v>4</v>
      </c>
      <c r="G11" s="8" t="n">
        <f aca="false">COUNTIFS('📋 All Tasks'!C:C,"B2.6",'📋 All Tasks'!I:I,"P3 - Medium")+COUNTIFS('📋 All Tasks'!C:C,"B2.6",'📋 All Tasks'!I:I,"P4 - Low")</f>
        <v>0</v>
      </c>
      <c r="H11" s="8" t="s">
        <v>13</v>
      </c>
    </row>
    <row r="12" customFormat="false" ht="21.75" hidden="false" customHeight="true" outlineLevel="0" collapsed="false">
      <c r="A12" s="6" t="s">
        <v>24</v>
      </c>
      <c r="B12" s="7" t="s">
        <v>25</v>
      </c>
      <c r="C12" s="6" t="n">
        <f aca="false">COUNTIF('📋 All Tasks'!C:C,"B2.7")</f>
        <v>9</v>
      </c>
      <c r="D12" s="6" t="n">
        <f aca="false">SUMIF('📋 All Tasks'!C:C,"B2.7",'📋 All Tasks'!O:O)</f>
        <v>35</v>
      </c>
      <c r="E12" s="6" t="n">
        <f aca="false">COUNTIFS('📋 All Tasks'!C:C,"B2.7",'📋 All Tasks'!I:I,"P1 - Critical")</f>
        <v>0</v>
      </c>
      <c r="F12" s="6" t="n">
        <f aca="false">COUNTIFS('📋 All Tasks'!C:C,"B2.7",'📋 All Tasks'!I:I,"P2 - High")</f>
        <v>7</v>
      </c>
      <c r="G12" s="6" t="n">
        <f aca="false">COUNTIFS('📋 All Tasks'!C:C,"B2.7",'📋 All Tasks'!I:I,"P3 - Medium")+COUNTIFS('📋 All Tasks'!C:C,"B2.7",'📋 All Tasks'!I:I,"P4 - Low")</f>
        <v>2</v>
      </c>
      <c r="H12" s="6" t="s">
        <v>13</v>
      </c>
    </row>
    <row r="13" customFormat="false" ht="21.75" hidden="false" customHeight="true" outlineLevel="0" collapsed="false">
      <c r="A13" s="8" t="s">
        <v>26</v>
      </c>
      <c r="B13" s="9" t="s">
        <v>27</v>
      </c>
      <c r="C13" s="8" t="n">
        <f aca="false">COUNTIF('📋 All Tasks'!C:C,"B2.8")</f>
        <v>2</v>
      </c>
      <c r="D13" s="8" t="n">
        <f aca="false">SUMIF('📋 All Tasks'!C:C,"B2.8",'📋 All Tasks'!O:O)</f>
        <v>14</v>
      </c>
      <c r="E13" s="8" t="n">
        <f aca="false">COUNTIFS('📋 All Tasks'!C:C,"B2.8",'📋 All Tasks'!I:I,"P1 - Critical")</f>
        <v>0</v>
      </c>
      <c r="F13" s="8" t="n">
        <f aca="false">COUNTIFS('📋 All Tasks'!C:C,"B2.8",'📋 All Tasks'!I:I,"P2 - High")</f>
        <v>0</v>
      </c>
      <c r="G13" s="8" t="n">
        <f aca="false">COUNTIFS('📋 All Tasks'!C:C,"B2.8",'📋 All Tasks'!I:I,"P3 - Medium")+COUNTIFS('📋 All Tasks'!C:C,"B2.8",'📋 All Tasks'!I:I,"P4 - Low")</f>
        <v>2</v>
      </c>
      <c r="H13" s="8" t="s">
        <v>13</v>
      </c>
    </row>
    <row r="14" customFormat="false" ht="21.75" hidden="false" customHeight="true" outlineLevel="0" collapsed="false">
      <c r="A14" s="6" t="s">
        <v>28</v>
      </c>
      <c r="B14" s="7" t="s">
        <v>29</v>
      </c>
      <c r="C14" s="6" t="n">
        <f aca="false">COUNTIF('📋 All Tasks'!C:C,"B2.9")</f>
        <v>3</v>
      </c>
      <c r="D14" s="6" t="n">
        <f aca="false">SUMIF('📋 All Tasks'!C:C,"B2.9",'📋 All Tasks'!O:O)</f>
        <v>15</v>
      </c>
      <c r="E14" s="6" t="n">
        <f aca="false">COUNTIFS('📋 All Tasks'!C:C,"B2.9",'📋 All Tasks'!I:I,"P1 - Critical")</f>
        <v>3</v>
      </c>
      <c r="F14" s="6" t="n">
        <f aca="false">COUNTIFS('📋 All Tasks'!C:C,"B2.9",'📋 All Tasks'!I:I,"P2 - High")</f>
        <v>0</v>
      </c>
      <c r="G14" s="6" t="n">
        <f aca="false">COUNTIFS('📋 All Tasks'!C:C,"B2.9",'📋 All Tasks'!I:I,"P3 - Medium")+COUNTIFS('📋 All Tasks'!C:C,"B2.9",'📋 All Tasks'!I:I,"P4 - Low")</f>
        <v>0</v>
      </c>
      <c r="H14" s="6" t="s">
        <v>13</v>
      </c>
    </row>
    <row r="15" customFormat="false" ht="24" hidden="false" customHeight="true" outlineLevel="0" collapsed="false">
      <c r="A15" s="10" t="s">
        <v>30</v>
      </c>
      <c r="B15" s="11" t="s">
        <v>31</v>
      </c>
      <c r="C15" s="10" t="n">
        <f aca="false">SUM(C6:C14)</f>
        <v>44</v>
      </c>
      <c r="D15" s="10" t="n">
        <f aca="false">SUM(D6:D14)</f>
        <v>197</v>
      </c>
      <c r="E15" s="10" t="n">
        <f aca="false">SUM(E6:E14)</f>
        <v>23</v>
      </c>
      <c r="F15" s="10" t="n">
        <f aca="false">SUM(F6:F14)</f>
        <v>17</v>
      </c>
      <c r="G15" s="10" t="n">
        <f aca="false">SUM(G6:G14)</f>
        <v>4</v>
      </c>
      <c r="H15" s="10"/>
    </row>
    <row r="17" customFormat="false" ht="24" hidden="false" customHeight="true" outlineLevel="0" collapsed="false">
      <c r="A17" s="4" t="s">
        <v>32</v>
      </c>
      <c r="B17" s="4"/>
      <c r="C17" s="4"/>
      <c r="D17" s="4"/>
      <c r="E17" s="4"/>
      <c r="F17" s="4"/>
      <c r="G17" s="4"/>
      <c r="H17" s="4"/>
    </row>
    <row r="18" customFormat="false" ht="24" hidden="false" customHeight="true" outlineLevel="0" collapsed="false">
      <c r="A18" s="5" t="s">
        <v>3</v>
      </c>
      <c r="B18" s="5" t="s">
        <v>4</v>
      </c>
      <c r="C18" s="5" t="s">
        <v>33</v>
      </c>
      <c r="D18" s="5" t="s">
        <v>34</v>
      </c>
      <c r="E18" s="5" t="s">
        <v>35</v>
      </c>
      <c r="F18" s="5" t="s">
        <v>36</v>
      </c>
    </row>
    <row r="19" customFormat="false" ht="19.5" hidden="false" customHeight="true" outlineLevel="0" collapsed="false">
      <c r="A19" s="12" t="s">
        <v>11</v>
      </c>
      <c r="B19" s="13" t="s">
        <v>12</v>
      </c>
      <c r="C19" s="14" t="n">
        <f aca="false">SUMIF('📋 All Tasks'!C:C,"B2.1",'📋 All Tasks'!P:P)</f>
        <v>48</v>
      </c>
      <c r="D19" s="14" t="n">
        <f aca="false">C19*0.25</f>
        <v>12</v>
      </c>
      <c r="E19" s="14" t="n">
        <f aca="false">C19+D19</f>
        <v>60</v>
      </c>
      <c r="F19" s="14" t="n">
        <f aca="false">E19/8</f>
        <v>7.5</v>
      </c>
    </row>
    <row r="20" customFormat="false" ht="19.5" hidden="false" customHeight="true" outlineLevel="0" collapsed="false">
      <c r="A20" s="15" t="s">
        <v>14</v>
      </c>
      <c r="B20" s="16" t="s">
        <v>15</v>
      </c>
      <c r="C20" s="17" t="n">
        <f aca="false">SUMIF('📋 All Tasks'!C:C,"B2.2",'📋 All Tasks'!P:P)</f>
        <v>62.5</v>
      </c>
      <c r="D20" s="17" t="n">
        <f aca="false">C20*0.25</f>
        <v>15.625</v>
      </c>
      <c r="E20" s="17" t="n">
        <f aca="false">C20+D20</f>
        <v>78.125</v>
      </c>
      <c r="F20" s="17" t="n">
        <f aca="false">E20/8</f>
        <v>9.765625</v>
      </c>
    </row>
    <row r="21" customFormat="false" ht="19.5" hidden="false" customHeight="true" outlineLevel="0" collapsed="false">
      <c r="A21" s="12" t="s">
        <v>16</v>
      </c>
      <c r="B21" s="13" t="s">
        <v>17</v>
      </c>
      <c r="C21" s="14" t="n">
        <f aca="false">SUMIF('📋 All Tasks'!C:C,"B2.3",'📋 All Tasks'!P:P)</f>
        <v>12</v>
      </c>
      <c r="D21" s="14" t="n">
        <f aca="false">C21*0.25</f>
        <v>3</v>
      </c>
      <c r="E21" s="14" t="n">
        <f aca="false">C21+D21</f>
        <v>15</v>
      </c>
      <c r="F21" s="14" t="n">
        <f aca="false">E21/8</f>
        <v>1.875</v>
      </c>
    </row>
    <row r="22" customFormat="false" ht="19.5" hidden="false" customHeight="true" outlineLevel="0" collapsed="false">
      <c r="A22" s="15" t="s">
        <v>18</v>
      </c>
      <c r="B22" s="16" t="s">
        <v>19</v>
      </c>
      <c r="C22" s="17" t="n">
        <f aca="false">SUMIF('📋 All Tasks'!C:C,"B2.4",'📋 All Tasks'!P:P)</f>
        <v>31</v>
      </c>
      <c r="D22" s="17" t="n">
        <f aca="false">C22*0.25</f>
        <v>7.75</v>
      </c>
      <c r="E22" s="17" t="n">
        <f aca="false">C22+D22</f>
        <v>38.75</v>
      </c>
      <c r="F22" s="17" t="n">
        <f aca="false">E22/8</f>
        <v>4.84375</v>
      </c>
    </row>
    <row r="23" customFormat="false" ht="19.5" hidden="false" customHeight="true" outlineLevel="0" collapsed="false">
      <c r="A23" s="12" t="s">
        <v>20</v>
      </c>
      <c r="B23" s="13" t="s">
        <v>21</v>
      </c>
      <c r="C23" s="14" t="n">
        <f aca="false">SUMIF('📋 All Tasks'!C:C,"B2.5",'📋 All Tasks'!P:P)</f>
        <v>30</v>
      </c>
      <c r="D23" s="14" t="n">
        <f aca="false">C23*0.25</f>
        <v>7.5</v>
      </c>
      <c r="E23" s="14" t="n">
        <f aca="false">C23+D23</f>
        <v>37.5</v>
      </c>
      <c r="F23" s="14" t="n">
        <f aca="false">E23/8</f>
        <v>4.6875</v>
      </c>
    </row>
    <row r="24" customFormat="false" ht="19.5" hidden="false" customHeight="true" outlineLevel="0" collapsed="false">
      <c r="A24" s="15" t="s">
        <v>22</v>
      </c>
      <c r="B24" s="16" t="s">
        <v>23</v>
      </c>
      <c r="C24" s="17" t="n">
        <f aca="false">SUMIF('📋 All Tasks'!C:C,"B2.6",'📋 All Tasks'!P:P)</f>
        <v>32.5</v>
      </c>
      <c r="D24" s="17" t="n">
        <f aca="false">C24*0.25</f>
        <v>8.125</v>
      </c>
      <c r="E24" s="17" t="n">
        <f aca="false">C24+D24</f>
        <v>40.625</v>
      </c>
      <c r="F24" s="17" t="n">
        <f aca="false">E24/8</f>
        <v>5.078125</v>
      </c>
    </row>
    <row r="25" customFormat="false" ht="19.5" hidden="false" customHeight="true" outlineLevel="0" collapsed="false">
      <c r="A25" s="12" t="s">
        <v>24</v>
      </c>
      <c r="B25" s="13" t="s">
        <v>25</v>
      </c>
      <c r="C25" s="14" t="n">
        <f aca="false">SUMIF('📋 All Tasks'!C:C,"B2.7",'📋 All Tasks'!P:P)</f>
        <v>72</v>
      </c>
      <c r="D25" s="14" t="n">
        <f aca="false">C25*0.25</f>
        <v>18</v>
      </c>
      <c r="E25" s="14" t="n">
        <f aca="false">C25+D25</f>
        <v>90</v>
      </c>
      <c r="F25" s="14" t="n">
        <f aca="false">E25/8</f>
        <v>11.25</v>
      </c>
    </row>
    <row r="26" customFormat="false" ht="19.5" hidden="false" customHeight="true" outlineLevel="0" collapsed="false">
      <c r="A26" s="15" t="s">
        <v>26</v>
      </c>
      <c r="B26" s="16" t="s">
        <v>27</v>
      </c>
      <c r="C26" s="17" t="n">
        <f aca="false">SUMIF('📋 All Tasks'!C:C,"B2.8",'📋 All Tasks'!P:P)</f>
        <v>30</v>
      </c>
      <c r="D26" s="17" t="n">
        <f aca="false">C26*0.25</f>
        <v>7.5</v>
      </c>
      <c r="E26" s="17" t="n">
        <f aca="false">C26+D26</f>
        <v>37.5</v>
      </c>
      <c r="F26" s="17" t="n">
        <f aca="false">E26/8</f>
        <v>4.6875</v>
      </c>
    </row>
    <row r="27" customFormat="false" ht="19.5" hidden="false" customHeight="true" outlineLevel="0" collapsed="false">
      <c r="A27" s="12" t="s">
        <v>28</v>
      </c>
      <c r="B27" s="13" t="s">
        <v>29</v>
      </c>
      <c r="C27" s="14" t="n">
        <f aca="false">SUMIF('📋 All Tasks'!C:C,"B2.9",'📋 All Tasks'!P:P)</f>
        <v>33</v>
      </c>
      <c r="D27" s="14" t="n">
        <f aca="false">C27*0.25</f>
        <v>8.25</v>
      </c>
      <c r="E27" s="14" t="n">
        <f aca="false">C27+D27</f>
        <v>41.25</v>
      </c>
      <c r="F27" s="14" t="n">
        <f aca="false">E27/8</f>
        <v>5.15625</v>
      </c>
    </row>
    <row r="28" customFormat="false" ht="21.75" hidden="false" customHeight="true" outlineLevel="0" collapsed="false">
      <c r="A28" s="10" t="s">
        <v>30</v>
      </c>
      <c r="B28" s="11" t="s">
        <v>31</v>
      </c>
      <c r="C28" s="18" t="n">
        <f aca="false">SUM(C19:C27)</f>
        <v>351</v>
      </c>
      <c r="D28" s="18" t="n">
        <f aca="false">SUM(D19:D27)</f>
        <v>87.75</v>
      </c>
      <c r="E28" s="18" t="n">
        <f aca="false">SUM(E19:E27)</f>
        <v>438.75</v>
      </c>
      <c r="F28" s="18" t="n">
        <f aca="false">SUM(F19:F27)</f>
        <v>54.84375</v>
      </c>
    </row>
    <row r="30" customFormat="false" ht="24" hidden="false" customHeight="true" outlineLevel="0" collapsed="false">
      <c r="A30" s="4" t="s">
        <v>37</v>
      </c>
      <c r="B30" s="4"/>
      <c r="C30" s="4"/>
      <c r="D30" s="4"/>
      <c r="E30" s="4"/>
      <c r="F30" s="4"/>
      <c r="G30" s="4"/>
      <c r="H30" s="4"/>
    </row>
    <row r="31" customFormat="false" ht="18" hidden="false" customHeight="true" outlineLevel="0" collapsed="false">
      <c r="A31" s="19" t="s">
        <v>38</v>
      </c>
      <c r="B31" s="20" t="s">
        <v>39</v>
      </c>
      <c r="C31" s="21" t="s">
        <v>40</v>
      </c>
      <c r="D31" s="22" t="s">
        <v>41</v>
      </c>
      <c r="E31" s="23" t="s">
        <v>42</v>
      </c>
    </row>
    <row r="32" customFormat="false" ht="18" hidden="false" customHeight="true" outlineLevel="0" collapsed="false">
      <c r="A32" s="24" t="s">
        <v>43</v>
      </c>
      <c r="B32" s="25" t="s">
        <v>44</v>
      </c>
      <c r="C32" s="26" t="s">
        <v>45</v>
      </c>
      <c r="D32" s="27" t="s">
        <v>46</v>
      </c>
      <c r="E32" s="28" t="s">
        <v>47</v>
      </c>
    </row>
    <row r="33" customFormat="false" ht="18" hidden="false" customHeight="true" outlineLevel="0" collapsed="false">
      <c r="A33" s="19" t="str">
        <f aca="false">COUNTIF('📋 All Tasks'!L:L,"Sprint 2")&amp;" tasks"</f>
        <v>9 tasks</v>
      </c>
      <c r="B33" s="20" t="str">
        <f aca="false">COUNTIF('📋 All Tasks'!L:L,"Sprint 3")&amp;" tasks"</f>
        <v>15 tasks</v>
      </c>
      <c r="C33" s="21" t="str">
        <f aca="false">COUNTIF('📋 All Tasks'!L:L,"Sprints 4-6")&amp;" tasks"</f>
        <v>9 tasks</v>
      </c>
      <c r="D33" s="22" t="str">
        <f aca="false">COUNTIF('📋 All Tasks'!L:L,"Sprint 7")&amp;" tasks"</f>
        <v>8 tasks</v>
      </c>
      <c r="E33" s="23" t="str">
        <f aca="false">COUNTIF('📋 All Tasks'!L:L,"Sprint 9")&amp;" tasks"</f>
        <v>3 tasks</v>
      </c>
    </row>
    <row r="35" customFormat="false" ht="19.5" hidden="false" customHeight="true" outlineLevel="0" collapsed="false">
      <c r="A35" s="29" t="s">
        <v>48</v>
      </c>
      <c r="B35" s="29"/>
      <c r="C35" s="29"/>
      <c r="D35" s="29"/>
    </row>
    <row r="36" customFormat="false" ht="19.5" hidden="false" customHeight="true" outlineLevel="0" collapsed="false">
      <c r="A36" s="30" t="s">
        <v>49</v>
      </c>
      <c r="B36" s="31" t="s">
        <v>50</v>
      </c>
      <c r="C36" s="32" t="s">
        <v>51</v>
      </c>
      <c r="D36" s="33" t="s">
        <v>52</v>
      </c>
    </row>
    <row r="38" customFormat="false" ht="19.5" hidden="false" customHeight="true" outlineLevel="0" collapsed="false">
      <c r="A38" s="29" t="s">
        <v>53</v>
      </c>
      <c r="B38" s="29"/>
      <c r="C38" s="29"/>
      <c r="D38" s="29"/>
      <c r="E38" s="29"/>
    </row>
    <row r="39" customFormat="false" ht="19.5" hidden="false" customHeight="true" outlineLevel="0" collapsed="false">
      <c r="A39" s="34" t="s">
        <v>38</v>
      </c>
      <c r="B39" s="35" t="s">
        <v>39</v>
      </c>
      <c r="C39" s="36" t="s">
        <v>40</v>
      </c>
      <c r="D39" s="37" t="s">
        <v>41</v>
      </c>
      <c r="E39" s="38" t="s">
        <v>42</v>
      </c>
    </row>
  </sheetData>
  <mergeCells count="8">
    <mergeCell ref="A1:N1"/>
    <mergeCell ref="A2:N2"/>
    <mergeCell ref="A3:N3"/>
    <mergeCell ref="A4:N4"/>
    <mergeCell ref="A17:H17"/>
    <mergeCell ref="A30:H30"/>
    <mergeCell ref="A35:D35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60"/>
    <col collapsed="false" customWidth="true" hidden="false" outlineLevel="0" max="8" min="8" style="0" width="22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16"/>
    <col collapsed="false" customWidth="true" hidden="false" outlineLevel="0" max="19" min="19" style="0" width="12"/>
    <col collapsed="false" customWidth="true" hidden="false" outlineLevel="0" max="20" min="20" style="0" width="28"/>
    <col collapsed="false" customWidth="true" hidden="false" outlineLevel="0" max="21" min="21" style="0" width="30"/>
  </cols>
  <sheetData>
    <row r="1" customFormat="false" ht="27.75" hidden="false" customHeight="true" outlineLevel="0" collapsed="false">
      <c r="A1" s="39" t="s">
        <v>54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customFormat="false" ht="19.5" hidden="false" customHeight="true" outlineLevel="0" collapsed="false">
      <c r="A2" s="40" t="s">
        <v>55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customFormat="false" ht="36" hidden="false" customHeight="true" outlineLevel="0" collapsed="false">
      <c r="A3" s="10" t="s">
        <v>56</v>
      </c>
      <c r="B3" s="10" t="s">
        <v>57</v>
      </c>
      <c r="C3" s="10" t="s">
        <v>3</v>
      </c>
      <c r="D3" s="10" t="s">
        <v>58</v>
      </c>
      <c r="E3" s="10" t="s">
        <v>4</v>
      </c>
      <c r="F3" s="10" t="s">
        <v>59</v>
      </c>
      <c r="G3" s="10" t="s">
        <v>60</v>
      </c>
      <c r="H3" s="10" t="s">
        <v>61</v>
      </c>
      <c r="I3" s="10" t="s">
        <v>62</v>
      </c>
      <c r="J3" s="10" t="s">
        <v>10</v>
      </c>
      <c r="K3" s="10" t="s">
        <v>63</v>
      </c>
      <c r="L3" s="10" t="s">
        <v>64</v>
      </c>
      <c r="M3" s="10" t="s">
        <v>65</v>
      </c>
      <c r="N3" s="10" t="s">
        <v>66</v>
      </c>
      <c r="O3" s="10" t="s">
        <v>67</v>
      </c>
      <c r="P3" s="10" t="s">
        <v>33</v>
      </c>
      <c r="Q3" s="10" t="s">
        <v>34</v>
      </c>
      <c r="R3" s="10" t="s">
        <v>68</v>
      </c>
      <c r="S3" s="10" t="s">
        <v>69</v>
      </c>
      <c r="T3" s="10" t="s">
        <v>70</v>
      </c>
      <c r="U3" s="10" t="s">
        <v>71</v>
      </c>
    </row>
    <row r="4" customFormat="false" ht="49.5" hidden="false" customHeight="true" outlineLevel="0" collapsed="false">
      <c r="A4" s="41" t="s">
        <v>72</v>
      </c>
      <c r="B4" s="41" t="s">
        <v>73</v>
      </c>
      <c r="C4" s="41" t="s">
        <v>11</v>
      </c>
      <c r="D4" s="42" t="s">
        <v>74</v>
      </c>
      <c r="E4" s="42" t="s">
        <v>12</v>
      </c>
      <c r="F4" s="42" t="s">
        <v>75</v>
      </c>
      <c r="G4" s="43" t="s">
        <v>76</v>
      </c>
      <c r="H4" s="41" t="s">
        <v>77</v>
      </c>
      <c r="I4" s="30" t="s">
        <v>49</v>
      </c>
      <c r="J4" s="41" t="s">
        <v>13</v>
      </c>
      <c r="K4" s="41"/>
      <c r="L4" s="41" t="s">
        <v>38</v>
      </c>
      <c r="M4" s="41"/>
      <c r="N4" s="41"/>
      <c r="O4" s="41" t="n">
        <v>8</v>
      </c>
      <c r="P4" s="41" t="n">
        <v>12</v>
      </c>
      <c r="Q4" s="41" t="n">
        <f aca="false">P4*0.25</f>
        <v>3</v>
      </c>
      <c r="R4" s="41" t="n">
        <f aca="false">P4+Q4</f>
        <v>15</v>
      </c>
      <c r="S4" s="41" t="n">
        <f aca="false">IF(J4="Completed",1,IF(J4="In Progress",0.5,0))</f>
        <v>0</v>
      </c>
      <c r="T4" s="42"/>
      <c r="U4" s="43"/>
    </row>
    <row r="5" customFormat="false" ht="49.5" hidden="false" customHeight="true" outlineLevel="0" collapsed="false">
      <c r="A5" s="41" t="s">
        <v>78</v>
      </c>
      <c r="B5" s="41" t="s">
        <v>73</v>
      </c>
      <c r="C5" s="41" t="s">
        <v>11</v>
      </c>
      <c r="D5" s="42" t="s">
        <v>74</v>
      </c>
      <c r="E5" s="42" t="s">
        <v>12</v>
      </c>
      <c r="F5" s="42" t="s">
        <v>79</v>
      </c>
      <c r="G5" s="43" t="s">
        <v>80</v>
      </c>
      <c r="H5" s="41" t="s">
        <v>77</v>
      </c>
      <c r="I5" s="30" t="s">
        <v>49</v>
      </c>
      <c r="J5" s="41" t="s">
        <v>13</v>
      </c>
      <c r="K5" s="41"/>
      <c r="L5" s="41" t="s">
        <v>38</v>
      </c>
      <c r="M5" s="41"/>
      <c r="N5" s="41"/>
      <c r="O5" s="41" t="n">
        <v>5</v>
      </c>
      <c r="P5" s="41" t="n">
        <v>7.5</v>
      </c>
      <c r="Q5" s="41" t="n">
        <f aca="false">P5*0.25</f>
        <v>1.875</v>
      </c>
      <c r="R5" s="41" t="n">
        <f aca="false">P5+Q5</f>
        <v>9.375</v>
      </c>
      <c r="S5" s="41" t="n">
        <f aca="false">IF(J5="Completed",1,IF(J5="In Progress",0.5,0))</f>
        <v>0</v>
      </c>
      <c r="T5" s="42" t="s">
        <v>72</v>
      </c>
      <c r="U5" s="43"/>
    </row>
    <row r="6" customFormat="false" ht="49.5" hidden="false" customHeight="true" outlineLevel="0" collapsed="false">
      <c r="A6" s="41" t="s">
        <v>81</v>
      </c>
      <c r="B6" s="41" t="s">
        <v>73</v>
      </c>
      <c r="C6" s="41" t="s">
        <v>11</v>
      </c>
      <c r="D6" s="42" t="s">
        <v>74</v>
      </c>
      <c r="E6" s="42" t="s">
        <v>12</v>
      </c>
      <c r="F6" s="42" t="s">
        <v>82</v>
      </c>
      <c r="G6" s="43" t="s">
        <v>83</v>
      </c>
      <c r="H6" s="41" t="s">
        <v>77</v>
      </c>
      <c r="I6" s="30" t="s">
        <v>49</v>
      </c>
      <c r="J6" s="41" t="s">
        <v>13</v>
      </c>
      <c r="K6" s="41"/>
      <c r="L6" s="41" t="s">
        <v>38</v>
      </c>
      <c r="M6" s="41"/>
      <c r="N6" s="41"/>
      <c r="O6" s="41" t="n">
        <v>5</v>
      </c>
      <c r="P6" s="41" t="n">
        <v>7.5</v>
      </c>
      <c r="Q6" s="41" t="n">
        <f aca="false">P6*0.25</f>
        <v>1.875</v>
      </c>
      <c r="R6" s="41" t="n">
        <f aca="false">P6+Q6</f>
        <v>9.375</v>
      </c>
      <c r="S6" s="41" t="n">
        <f aca="false">IF(J6="Completed",1,IF(J6="In Progress",0.5,0))</f>
        <v>0</v>
      </c>
      <c r="T6" s="42" t="s">
        <v>72</v>
      </c>
      <c r="U6" s="43"/>
    </row>
    <row r="7" customFormat="false" ht="49.5" hidden="false" customHeight="true" outlineLevel="0" collapsed="false">
      <c r="A7" s="41" t="s">
        <v>84</v>
      </c>
      <c r="B7" s="41" t="s">
        <v>73</v>
      </c>
      <c r="C7" s="41" t="s">
        <v>14</v>
      </c>
      <c r="D7" s="42" t="s">
        <v>74</v>
      </c>
      <c r="E7" s="42" t="s">
        <v>15</v>
      </c>
      <c r="F7" s="42" t="s">
        <v>85</v>
      </c>
      <c r="G7" s="43" t="s">
        <v>86</v>
      </c>
      <c r="H7" s="41" t="s">
        <v>87</v>
      </c>
      <c r="I7" s="30" t="s">
        <v>49</v>
      </c>
      <c r="J7" s="41" t="s">
        <v>13</v>
      </c>
      <c r="K7" s="41"/>
      <c r="L7" s="41" t="s">
        <v>38</v>
      </c>
      <c r="M7" s="41"/>
      <c r="N7" s="41"/>
      <c r="O7" s="41" t="n">
        <v>5</v>
      </c>
      <c r="P7" s="41" t="n">
        <v>7.5</v>
      </c>
      <c r="Q7" s="41" t="n">
        <f aca="false">P7*0.25</f>
        <v>1.875</v>
      </c>
      <c r="R7" s="41" t="n">
        <f aca="false">P7+Q7</f>
        <v>9.375</v>
      </c>
      <c r="S7" s="41" t="n">
        <f aca="false">IF(J7="Completed",1,IF(J7="In Progress",0.5,0))</f>
        <v>0</v>
      </c>
      <c r="T7" s="42" t="s">
        <v>88</v>
      </c>
      <c r="U7" s="43"/>
    </row>
    <row r="8" customFormat="false" ht="49.5" hidden="false" customHeight="true" outlineLevel="0" collapsed="false">
      <c r="A8" s="41" t="s">
        <v>89</v>
      </c>
      <c r="B8" s="41" t="s">
        <v>73</v>
      </c>
      <c r="C8" s="41" t="s">
        <v>11</v>
      </c>
      <c r="D8" s="42" t="s">
        <v>74</v>
      </c>
      <c r="E8" s="42" t="s">
        <v>12</v>
      </c>
      <c r="F8" s="42" t="s">
        <v>90</v>
      </c>
      <c r="G8" s="43" t="s">
        <v>91</v>
      </c>
      <c r="H8" s="41" t="s">
        <v>77</v>
      </c>
      <c r="I8" s="31" t="s">
        <v>50</v>
      </c>
      <c r="J8" s="41" t="s">
        <v>13</v>
      </c>
      <c r="K8" s="41"/>
      <c r="L8" s="41" t="s">
        <v>38</v>
      </c>
      <c r="M8" s="41"/>
      <c r="N8" s="41"/>
      <c r="O8" s="41" t="n">
        <v>4</v>
      </c>
      <c r="P8" s="41" t="n">
        <v>6</v>
      </c>
      <c r="Q8" s="41" t="n">
        <f aca="false">P8*0.25</f>
        <v>1.5</v>
      </c>
      <c r="R8" s="41" t="n">
        <f aca="false">P8+Q8</f>
        <v>7.5</v>
      </c>
      <c r="S8" s="41" t="n">
        <f aca="false">IF(J8="Completed",1,IF(J8="In Progress",0.5,0))</f>
        <v>0</v>
      </c>
      <c r="T8" s="42" t="s">
        <v>84</v>
      </c>
      <c r="U8" s="43"/>
    </row>
    <row r="9" customFormat="false" ht="49.5" hidden="false" customHeight="true" outlineLevel="0" collapsed="false">
      <c r="A9" s="41" t="s">
        <v>92</v>
      </c>
      <c r="B9" s="41" t="s">
        <v>73</v>
      </c>
      <c r="C9" s="41" t="s">
        <v>11</v>
      </c>
      <c r="D9" s="42" t="s">
        <v>74</v>
      </c>
      <c r="E9" s="42" t="s">
        <v>12</v>
      </c>
      <c r="F9" s="42" t="s">
        <v>93</v>
      </c>
      <c r="G9" s="43" t="s">
        <v>94</v>
      </c>
      <c r="H9" s="41" t="s">
        <v>87</v>
      </c>
      <c r="I9" s="31" t="s">
        <v>50</v>
      </c>
      <c r="J9" s="41" t="s">
        <v>13</v>
      </c>
      <c r="K9" s="41"/>
      <c r="L9" s="41" t="s">
        <v>38</v>
      </c>
      <c r="M9" s="41"/>
      <c r="N9" s="41"/>
      <c r="O9" s="41" t="n">
        <v>3</v>
      </c>
      <c r="P9" s="41" t="n">
        <v>4.5</v>
      </c>
      <c r="Q9" s="41" t="n">
        <f aca="false">P9*0.25</f>
        <v>1.125</v>
      </c>
      <c r="R9" s="41" t="n">
        <f aca="false">P9+Q9</f>
        <v>5.625</v>
      </c>
      <c r="S9" s="41" t="n">
        <f aca="false">IF(J9="Completed",1,IF(J9="In Progress",0.5,0))</f>
        <v>0</v>
      </c>
      <c r="T9" s="42" t="s">
        <v>84</v>
      </c>
      <c r="U9" s="43"/>
    </row>
    <row r="10" customFormat="false" ht="49.5" hidden="false" customHeight="true" outlineLevel="0" collapsed="false">
      <c r="A10" s="41" t="s">
        <v>88</v>
      </c>
      <c r="B10" s="41" t="s">
        <v>73</v>
      </c>
      <c r="C10" s="41" t="s">
        <v>16</v>
      </c>
      <c r="D10" s="42" t="s">
        <v>74</v>
      </c>
      <c r="E10" s="42" t="s">
        <v>17</v>
      </c>
      <c r="F10" s="42" t="s">
        <v>95</v>
      </c>
      <c r="G10" s="43" t="s">
        <v>96</v>
      </c>
      <c r="H10" s="41" t="s">
        <v>97</v>
      </c>
      <c r="I10" s="30" t="s">
        <v>49</v>
      </c>
      <c r="J10" s="41" t="s">
        <v>13</v>
      </c>
      <c r="K10" s="41"/>
      <c r="L10" s="41" t="s">
        <v>38</v>
      </c>
      <c r="M10" s="41"/>
      <c r="N10" s="41"/>
      <c r="O10" s="41" t="n">
        <v>3</v>
      </c>
      <c r="P10" s="41" t="n">
        <v>4.5</v>
      </c>
      <c r="Q10" s="41" t="n">
        <f aca="false">P10*0.25</f>
        <v>1.125</v>
      </c>
      <c r="R10" s="41" t="n">
        <f aca="false">P10+Q10</f>
        <v>5.625</v>
      </c>
      <c r="S10" s="41" t="n">
        <f aca="false">IF(J10="Completed",1,IF(J10="In Progress",0.5,0))</f>
        <v>0</v>
      </c>
      <c r="T10" s="42"/>
      <c r="U10" s="43"/>
    </row>
    <row r="11" customFormat="false" ht="49.5" hidden="false" customHeight="true" outlineLevel="0" collapsed="false">
      <c r="A11" s="41" t="s">
        <v>98</v>
      </c>
      <c r="B11" s="41" t="s">
        <v>73</v>
      </c>
      <c r="C11" s="41" t="s">
        <v>16</v>
      </c>
      <c r="D11" s="42" t="s">
        <v>74</v>
      </c>
      <c r="E11" s="42" t="s">
        <v>17</v>
      </c>
      <c r="F11" s="42" t="s">
        <v>99</v>
      </c>
      <c r="G11" s="43" t="s">
        <v>100</v>
      </c>
      <c r="H11" s="41" t="s">
        <v>97</v>
      </c>
      <c r="I11" s="30" t="s">
        <v>49</v>
      </c>
      <c r="J11" s="41" t="s">
        <v>13</v>
      </c>
      <c r="K11" s="41"/>
      <c r="L11" s="41" t="s">
        <v>38</v>
      </c>
      <c r="M11" s="41"/>
      <c r="N11" s="41"/>
      <c r="O11" s="41" t="n">
        <v>3</v>
      </c>
      <c r="P11" s="41" t="n">
        <v>4.5</v>
      </c>
      <c r="Q11" s="41" t="n">
        <f aca="false">P11*0.25</f>
        <v>1.125</v>
      </c>
      <c r="R11" s="41" t="n">
        <f aca="false">P11+Q11</f>
        <v>5.625</v>
      </c>
      <c r="S11" s="41" t="n">
        <f aca="false">IF(J11="Completed",1,IF(J11="In Progress",0.5,0))</f>
        <v>0</v>
      </c>
      <c r="T11" s="42" t="s">
        <v>88</v>
      </c>
      <c r="U11" s="43"/>
    </row>
    <row r="12" customFormat="false" ht="49.5" hidden="false" customHeight="true" outlineLevel="0" collapsed="false">
      <c r="A12" s="41" t="s">
        <v>101</v>
      </c>
      <c r="B12" s="41" t="s">
        <v>73</v>
      </c>
      <c r="C12" s="41" t="s">
        <v>28</v>
      </c>
      <c r="D12" s="42" t="s">
        <v>74</v>
      </c>
      <c r="E12" s="42" t="s">
        <v>29</v>
      </c>
      <c r="F12" s="42" t="s">
        <v>102</v>
      </c>
      <c r="G12" s="43" t="s">
        <v>103</v>
      </c>
      <c r="H12" s="41" t="s">
        <v>104</v>
      </c>
      <c r="I12" s="30" t="s">
        <v>49</v>
      </c>
      <c r="J12" s="41" t="s">
        <v>13</v>
      </c>
      <c r="K12" s="41"/>
      <c r="L12" s="41" t="s">
        <v>38</v>
      </c>
      <c r="M12" s="41"/>
      <c r="N12" s="41"/>
      <c r="O12" s="41" t="n">
        <v>4</v>
      </c>
      <c r="P12" s="41" t="n">
        <v>8</v>
      </c>
      <c r="Q12" s="41" t="n">
        <f aca="false">P12*0.25</f>
        <v>2</v>
      </c>
      <c r="R12" s="41" t="n">
        <f aca="false">P12+Q12</f>
        <v>10</v>
      </c>
      <c r="S12" s="41" t="n">
        <f aca="false">IF(J12="Completed",1,IF(J12="In Progress",0.5,0))</f>
        <v>0</v>
      </c>
      <c r="T12" s="42" t="s">
        <v>105</v>
      </c>
      <c r="U12" s="43"/>
    </row>
    <row r="13" customFormat="false" ht="49.5" hidden="false" customHeight="true" outlineLevel="0" collapsed="false">
      <c r="A13" s="44" t="s">
        <v>106</v>
      </c>
      <c r="B13" s="44" t="s">
        <v>73</v>
      </c>
      <c r="C13" s="44" t="s">
        <v>14</v>
      </c>
      <c r="D13" s="45" t="s">
        <v>74</v>
      </c>
      <c r="E13" s="45" t="s">
        <v>15</v>
      </c>
      <c r="F13" s="45" t="s">
        <v>107</v>
      </c>
      <c r="G13" s="46" t="s">
        <v>108</v>
      </c>
      <c r="H13" s="44" t="s">
        <v>87</v>
      </c>
      <c r="I13" s="30" t="s">
        <v>49</v>
      </c>
      <c r="J13" s="44" t="s">
        <v>13</v>
      </c>
      <c r="K13" s="44"/>
      <c r="L13" s="44" t="s">
        <v>39</v>
      </c>
      <c r="M13" s="44"/>
      <c r="N13" s="44"/>
      <c r="O13" s="44" t="n">
        <v>8</v>
      </c>
      <c r="P13" s="44" t="n">
        <v>12</v>
      </c>
      <c r="Q13" s="44" t="n">
        <f aca="false">P13*0.25</f>
        <v>3</v>
      </c>
      <c r="R13" s="44" t="n">
        <f aca="false">P13+Q13</f>
        <v>15</v>
      </c>
      <c r="S13" s="44" t="n">
        <f aca="false">IF(J13="Completed",1,IF(J13="In Progress",0.5,0))</f>
        <v>0</v>
      </c>
      <c r="T13" s="45" t="s">
        <v>109</v>
      </c>
      <c r="U13" s="46"/>
    </row>
    <row r="14" customFormat="false" ht="49.5" hidden="false" customHeight="true" outlineLevel="0" collapsed="false">
      <c r="A14" s="44" t="s">
        <v>110</v>
      </c>
      <c r="B14" s="44" t="s">
        <v>73</v>
      </c>
      <c r="C14" s="44" t="s">
        <v>14</v>
      </c>
      <c r="D14" s="45" t="s">
        <v>74</v>
      </c>
      <c r="E14" s="45" t="s">
        <v>15</v>
      </c>
      <c r="F14" s="45" t="s">
        <v>111</v>
      </c>
      <c r="G14" s="46" t="s">
        <v>112</v>
      </c>
      <c r="H14" s="44" t="s">
        <v>113</v>
      </c>
      <c r="I14" s="30" t="s">
        <v>49</v>
      </c>
      <c r="J14" s="44" t="s">
        <v>13</v>
      </c>
      <c r="K14" s="44"/>
      <c r="L14" s="44" t="s">
        <v>39</v>
      </c>
      <c r="M14" s="44"/>
      <c r="N14" s="44"/>
      <c r="O14" s="44" t="n">
        <v>8</v>
      </c>
      <c r="P14" s="44" t="n">
        <v>16</v>
      </c>
      <c r="Q14" s="44" t="n">
        <f aca="false">P14*0.25</f>
        <v>4</v>
      </c>
      <c r="R14" s="44" t="n">
        <f aca="false">P14+Q14</f>
        <v>20</v>
      </c>
      <c r="S14" s="44" t="n">
        <f aca="false">IF(J14="Completed",1,IF(J14="In Progress",0.5,0))</f>
        <v>0</v>
      </c>
      <c r="T14" s="45" t="s">
        <v>106</v>
      </c>
      <c r="U14" s="46"/>
    </row>
    <row r="15" customFormat="false" ht="49.5" hidden="false" customHeight="true" outlineLevel="0" collapsed="false">
      <c r="A15" s="44" t="s">
        <v>114</v>
      </c>
      <c r="B15" s="44" t="s">
        <v>73</v>
      </c>
      <c r="C15" s="44" t="s">
        <v>14</v>
      </c>
      <c r="D15" s="45" t="s">
        <v>74</v>
      </c>
      <c r="E15" s="45" t="s">
        <v>15</v>
      </c>
      <c r="F15" s="45" t="s">
        <v>115</v>
      </c>
      <c r="G15" s="46" t="s">
        <v>116</v>
      </c>
      <c r="H15" s="44" t="s">
        <v>113</v>
      </c>
      <c r="I15" s="30" t="s">
        <v>49</v>
      </c>
      <c r="J15" s="44" t="s">
        <v>13</v>
      </c>
      <c r="K15" s="44"/>
      <c r="L15" s="44" t="s">
        <v>39</v>
      </c>
      <c r="M15" s="44"/>
      <c r="N15" s="44"/>
      <c r="O15" s="44" t="n">
        <v>6</v>
      </c>
      <c r="P15" s="44" t="n">
        <v>12</v>
      </c>
      <c r="Q15" s="44" t="n">
        <f aca="false">P15*0.25</f>
        <v>3</v>
      </c>
      <c r="R15" s="44" t="n">
        <f aca="false">P15+Q15</f>
        <v>15</v>
      </c>
      <c r="S15" s="44" t="n">
        <f aca="false">IF(J15="Completed",1,IF(J15="In Progress",0.5,0))</f>
        <v>0</v>
      </c>
      <c r="T15" s="45" t="s">
        <v>110</v>
      </c>
      <c r="U15" s="46"/>
    </row>
    <row r="16" customFormat="false" ht="49.5" hidden="false" customHeight="true" outlineLevel="0" collapsed="false">
      <c r="A16" s="44" t="s">
        <v>117</v>
      </c>
      <c r="B16" s="44" t="s">
        <v>73</v>
      </c>
      <c r="C16" s="44" t="s">
        <v>14</v>
      </c>
      <c r="D16" s="45" t="s">
        <v>74</v>
      </c>
      <c r="E16" s="45" t="s">
        <v>15</v>
      </c>
      <c r="F16" s="45" t="s">
        <v>118</v>
      </c>
      <c r="G16" s="46" t="s">
        <v>119</v>
      </c>
      <c r="H16" s="44" t="s">
        <v>87</v>
      </c>
      <c r="I16" s="30" t="s">
        <v>49</v>
      </c>
      <c r="J16" s="44" t="s">
        <v>13</v>
      </c>
      <c r="K16" s="44"/>
      <c r="L16" s="44" t="s">
        <v>39</v>
      </c>
      <c r="M16" s="44"/>
      <c r="N16" s="44"/>
      <c r="O16" s="44" t="n">
        <v>5</v>
      </c>
      <c r="P16" s="44" t="n">
        <v>7.5</v>
      </c>
      <c r="Q16" s="44" t="n">
        <f aca="false">P16*0.25</f>
        <v>1.875</v>
      </c>
      <c r="R16" s="44" t="n">
        <f aca="false">P16+Q16</f>
        <v>9.375</v>
      </c>
      <c r="S16" s="44" t="n">
        <f aca="false">IF(J16="Completed",1,IF(J16="In Progress",0.5,0))</f>
        <v>0</v>
      </c>
      <c r="T16" s="45" t="s">
        <v>109</v>
      </c>
      <c r="U16" s="46"/>
    </row>
    <row r="17" customFormat="false" ht="49.5" hidden="false" customHeight="true" outlineLevel="0" collapsed="false">
      <c r="A17" s="44" t="s">
        <v>120</v>
      </c>
      <c r="B17" s="44" t="s">
        <v>73</v>
      </c>
      <c r="C17" s="44" t="s">
        <v>18</v>
      </c>
      <c r="D17" s="45" t="s">
        <v>74</v>
      </c>
      <c r="E17" s="45" t="s">
        <v>19</v>
      </c>
      <c r="F17" s="45" t="s">
        <v>121</v>
      </c>
      <c r="G17" s="46" t="s">
        <v>122</v>
      </c>
      <c r="H17" s="44" t="s">
        <v>87</v>
      </c>
      <c r="I17" s="30" t="s">
        <v>49</v>
      </c>
      <c r="J17" s="44" t="s">
        <v>13</v>
      </c>
      <c r="K17" s="44"/>
      <c r="L17" s="44" t="s">
        <v>39</v>
      </c>
      <c r="M17" s="44"/>
      <c r="N17" s="44"/>
      <c r="O17" s="44" t="n">
        <v>5</v>
      </c>
      <c r="P17" s="44" t="n">
        <v>7.5</v>
      </c>
      <c r="Q17" s="44" t="n">
        <f aca="false">P17*0.25</f>
        <v>1.875</v>
      </c>
      <c r="R17" s="44" t="n">
        <f aca="false">P17+Q17</f>
        <v>9.375</v>
      </c>
      <c r="S17" s="44" t="n">
        <f aca="false">IF(J17="Completed",1,IF(J17="In Progress",0.5,0))</f>
        <v>0</v>
      </c>
      <c r="T17" s="45" t="s">
        <v>123</v>
      </c>
      <c r="U17" s="46"/>
    </row>
    <row r="18" customFormat="false" ht="49.5" hidden="false" customHeight="true" outlineLevel="0" collapsed="false">
      <c r="A18" s="44" t="s">
        <v>124</v>
      </c>
      <c r="B18" s="44" t="s">
        <v>73</v>
      </c>
      <c r="C18" s="44" t="s">
        <v>16</v>
      </c>
      <c r="D18" s="45" t="s">
        <v>74</v>
      </c>
      <c r="E18" s="45" t="s">
        <v>17</v>
      </c>
      <c r="F18" s="45" t="s">
        <v>125</v>
      </c>
      <c r="G18" s="46" t="s">
        <v>126</v>
      </c>
      <c r="H18" s="44" t="s">
        <v>97</v>
      </c>
      <c r="I18" s="30" t="s">
        <v>49</v>
      </c>
      <c r="J18" s="44" t="s">
        <v>13</v>
      </c>
      <c r="K18" s="44"/>
      <c r="L18" s="44" t="s">
        <v>39</v>
      </c>
      <c r="M18" s="44"/>
      <c r="N18" s="44"/>
      <c r="O18" s="44" t="n">
        <v>2</v>
      </c>
      <c r="P18" s="44" t="n">
        <v>3</v>
      </c>
      <c r="Q18" s="44" t="n">
        <f aca="false">P18*0.25</f>
        <v>0.75</v>
      </c>
      <c r="R18" s="44" t="n">
        <f aca="false">P18+Q18</f>
        <v>3.75</v>
      </c>
      <c r="S18" s="44" t="n">
        <f aca="false">IF(J18="Completed",1,IF(J18="In Progress",0.5,0))</f>
        <v>0</v>
      </c>
      <c r="T18" s="45" t="s">
        <v>98</v>
      </c>
      <c r="U18" s="46"/>
    </row>
    <row r="19" customFormat="false" ht="49.5" hidden="false" customHeight="true" outlineLevel="0" collapsed="false">
      <c r="A19" s="44" t="s">
        <v>127</v>
      </c>
      <c r="B19" s="44" t="s">
        <v>73</v>
      </c>
      <c r="C19" s="44" t="s">
        <v>18</v>
      </c>
      <c r="D19" s="45" t="s">
        <v>74</v>
      </c>
      <c r="E19" s="45" t="s">
        <v>19</v>
      </c>
      <c r="F19" s="45" t="s">
        <v>128</v>
      </c>
      <c r="G19" s="46" t="s">
        <v>129</v>
      </c>
      <c r="H19" s="44" t="s">
        <v>113</v>
      </c>
      <c r="I19" s="30" t="s">
        <v>49</v>
      </c>
      <c r="J19" s="44" t="s">
        <v>13</v>
      </c>
      <c r="K19" s="44"/>
      <c r="L19" s="44" t="s">
        <v>39</v>
      </c>
      <c r="M19" s="44"/>
      <c r="N19" s="44"/>
      <c r="O19" s="44" t="n">
        <v>4</v>
      </c>
      <c r="P19" s="44" t="n">
        <v>8</v>
      </c>
      <c r="Q19" s="44" t="n">
        <f aca="false">P19*0.25</f>
        <v>2</v>
      </c>
      <c r="R19" s="44" t="n">
        <f aca="false">P19+Q19</f>
        <v>10</v>
      </c>
      <c r="S19" s="44" t="n">
        <f aca="false">IF(J19="Completed",1,IF(J19="In Progress",0.5,0))</f>
        <v>0</v>
      </c>
      <c r="T19" s="45" t="s">
        <v>120</v>
      </c>
      <c r="U19" s="46"/>
    </row>
    <row r="20" customFormat="false" ht="49.5" hidden="false" customHeight="true" outlineLevel="0" collapsed="false">
      <c r="A20" s="44" t="s">
        <v>130</v>
      </c>
      <c r="B20" s="44" t="s">
        <v>73</v>
      </c>
      <c r="C20" s="44" t="s">
        <v>18</v>
      </c>
      <c r="D20" s="45" t="s">
        <v>74</v>
      </c>
      <c r="E20" s="45" t="s">
        <v>19</v>
      </c>
      <c r="F20" s="45" t="s">
        <v>131</v>
      </c>
      <c r="G20" s="46" t="s">
        <v>132</v>
      </c>
      <c r="H20" s="44" t="s">
        <v>113</v>
      </c>
      <c r="I20" s="30" t="s">
        <v>49</v>
      </c>
      <c r="J20" s="44" t="s">
        <v>13</v>
      </c>
      <c r="K20" s="44"/>
      <c r="L20" s="44" t="s">
        <v>39</v>
      </c>
      <c r="M20" s="44"/>
      <c r="N20" s="44"/>
      <c r="O20" s="44" t="n">
        <v>4</v>
      </c>
      <c r="P20" s="44" t="n">
        <v>8</v>
      </c>
      <c r="Q20" s="44" t="n">
        <f aca="false">P20*0.25</f>
        <v>2</v>
      </c>
      <c r="R20" s="44" t="n">
        <f aca="false">P20+Q20</f>
        <v>10</v>
      </c>
      <c r="S20" s="44" t="n">
        <f aca="false">IF(J20="Completed",1,IF(J20="In Progress",0.5,0))</f>
        <v>0</v>
      </c>
      <c r="T20" s="45" t="s">
        <v>127</v>
      </c>
      <c r="U20" s="46"/>
    </row>
    <row r="21" customFormat="false" ht="49.5" hidden="false" customHeight="true" outlineLevel="0" collapsed="false">
      <c r="A21" s="44" t="s">
        <v>133</v>
      </c>
      <c r="B21" s="44" t="s">
        <v>73</v>
      </c>
      <c r="C21" s="44" t="s">
        <v>18</v>
      </c>
      <c r="D21" s="45" t="s">
        <v>74</v>
      </c>
      <c r="E21" s="45" t="s">
        <v>19</v>
      </c>
      <c r="F21" s="45" t="s">
        <v>134</v>
      </c>
      <c r="G21" s="46" t="s">
        <v>135</v>
      </c>
      <c r="H21" s="44" t="s">
        <v>77</v>
      </c>
      <c r="I21" s="31" t="s">
        <v>50</v>
      </c>
      <c r="J21" s="44" t="s">
        <v>13</v>
      </c>
      <c r="K21" s="44"/>
      <c r="L21" s="44" t="s">
        <v>39</v>
      </c>
      <c r="M21" s="44"/>
      <c r="N21" s="44"/>
      <c r="O21" s="44" t="n">
        <v>5</v>
      </c>
      <c r="P21" s="44" t="n">
        <v>7.5</v>
      </c>
      <c r="Q21" s="44" t="n">
        <f aca="false">P21*0.25</f>
        <v>1.875</v>
      </c>
      <c r="R21" s="44" t="n">
        <f aca="false">P21+Q21</f>
        <v>9.375</v>
      </c>
      <c r="S21" s="44" t="n">
        <f aca="false">IF(J21="Completed",1,IF(J21="In Progress",0.5,0))</f>
        <v>0</v>
      </c>
      <c r="T21" s="45" t="s">
        <v>120</v>
      </c>
      <c r="U21" s="46"/>
    </row>
    <row r="22" customFormat="false" ht="49.5" hidden="false" customHeight="true" outlineLevel="0" collapsed="false">
      <c r="A22" s="44" t="s">
        <v>136</v>
      </c>
      <c r="B22" s="44" t="s">
        <v>73</v>
      </c>
      <c r="C22" s="44" t="s">
        <v>14</v>
      </c>
      <c r="D22" s="45" t="s">
        <v>74</v>
      </c>
      <c r="E22" s="45" t="s">
        <v>15</v>
      </c>
      <c r="F22" s="45" t="s">
        <v>137</v>
      </c>
      <c r="G22" s="46" t="s">
        <v>138</v>
      </c>
      <c r="H22" s="44" t="s">
        <v>77</v>
      </c>
      <c r="I22" s="30" t="s">
        <v>49</v>
      </c>
      <c r="J22" s="44" t="s">
        <v>13</v>
      </c>
      <c r="K22" s="44"/>
      <c r="L22" s="44" t="s">
        <v>39</v>
      </c>
      <c r="M22" s="44"/>
      <c r="N22" s="44"/>
      <c r="O22" s="44" t="n">
        <v>5</v>
      </c>
      <c r="P22" s="44" t="n">
        <v>7.5</v>
      </c>
      <c r="Q22" s="44" t="n">
        <f aca="false">P22*0.25</f>
        <v>1.875</v>
      </c>
      <c r="R22" s="44" t="n">
        <f aca="false">P22+Q22</f>
        <v>9.375</v>
      </c>
      <c r="S22" s="44" t="n">
        <f aca="false">IF(J22="Completed",1,IF(J22="In Progress",0.5,0))</f>
        <v>0</v>
      </c>
      <c r="T22" s="45" t="s">
        <v>117</v>
      </c>
      <c r="U22" s="46"/>
    </row>
    <row r="23" customFormat="false" ht="49.5" hidden="false" customHeight="true" outlineLevel="0" collapsed="false">
      <c r="A23" s="44" t="s">
        <v>139</v>
      </c>
      <c r="B23" s="44" t="s">
        <v>73</v>
      </c>
      <c r="C23" s="44" t="s">
        <v>22</v>
      </c>
      <c r="D23" s="45" t="s">
        <v>74</v>
      </c>
      <c r="E23" s="45" t="s">
        <v>23</v>
      </c>
      <c r="F23" s="45" t="s">
        <v>140</v>
      </c>
      <c r="G23" s="46" t="s">
        <v>141</v>
      </c>
      <c r="H23" s="44" t="s">
        <v>113</v>
      </c>
      <c r="I23" s="31" t="s">
        <v>50</v>
      </c>
      <c r="J23" s="44" t="s">
        <v>13</v>
      </c>
      <c r="K23" s="44"/>
      <c r="L23" s="44" t="s">
        <v>39</v>
      </c>
      <c r="M23" s="44"/>
      <c r="N23" s="44"/>
      <c r="O23" s="44" t="n">
        <v>5</v>
      </c>
      <c r="P23" s="44" t="n">
        <v>10</v>
      </c>
      <c r="Q23" s="44" t="n">
        <f aca="false">P23*0.25</f>
        <v>2.5</v>
      </c>
      <c r="R23" s="44" t="n">
        <f aca="false">P23+Q23</f>
        <v>12.5</v>
      </c>
      <c r="S23" s="44" t="n">
        <f aca="false">IF(J23="Completed",1,IF(J23="In Progress",0.5,0))</f>
        <v>0</v>
      </c>
      <c r="T23" s="45" t="s">
        <v>110</v>
      </c>
      <c r="U23" s="46"/>
    </row>
    <row r="24" customFormat="false" ht="49.5" hidden="false" customHeight="true" outlineLevel="0" collapsed="false">
      <c r="A24" s="44" t="s">
        <v>142</v>
      </c>
      <c r="B24" s="44" t="s">
        <v>73</v>
      </c>
      <c r="C24" s="44" t="s">
        <v>11</v>
      </c>
      <c r="D24" s="45" t="s">
        <v>74</v>
      </c>
      <c r="E24" s="45" t="s">
        <v>12</v>
      </c>
      <c r="F24" s="45" t="s">
        <v>143</v>
      </c>
      <c r="G24" s="46" t="s">
        <v>144</v>
      </c>
      <c r="H24" s="44" t="s">
        <v>77</v>
      </c>
      <c r="I24" s="31" t="s">
        <v>50</v>
      </c>
      <c r="J24" s="44" t="s">
        <v>13</v>
      </c>
      <c r="K24" s="44"/>
      <c r="L24" s="44" t="s">
        <v>39</v>
      </c>
      <c r="M24" s="44"/>
      <c r="N24" s="44"/>
      <c r="O24" s="44" t="n">
        <v>4</v>
      </c>
      <c r="P24" s="44" t="n">
        <v>6</v>
      </c>
      <c r="Q24" s="44" t="n">
        <f aca="false">P24*0.25</f>
        <v>1.5</v>
      </c>
      <c r="R24" s="44" t="n">
        <f aca="false">P24+Q24</f>
        <v>7.5</v>
      </c>
      <c r="S24" s="44" t="n">
        <f aca="false">IF(J24="Completed",1,IF(J24="In Progress",0.5,0))</f>
        <v>0</v>
      </c>
      <c r="T24" s="45" t="s">
        <v>72</v>
      </c>
      <c r="U24" s="46"/>
    </row>
    <row r="25" customFormat="false" ht="49.5" hidden="false" customHeight="true" outlineLevel="0" collapsed="false">
      <c r="A25" s="44" t="s">
        <v>145</v>
      </c>
      <c r="B25" s="44" t="s">
        <v>73</v>
      </c>
      <c r="C25" s="44" t="s">
        <v>11</v>
      </c>
      <c r="D25" s="45" t="s">
        <v>74</v>
      </c>
      <c r="E25" s="45" t="s">
        <v>12</v>
      </c>
      <c r="F25" s="45" t="s">
        <v>146</v>
      </c>
      <c r="G25" s="46" t="s">
        <v>147</v>
      </c>
      <c r="H25" s="44" t="s">
        <v>77</v>
      </c>
      <c r="I25" s="31" t="s">
        <v>50</v>
      </c>
      <c r="J25" s="44" t="s">
        <v>13</v>
      </c>
      <c r="K25" s="44"/>
      <c r="L25" s="44" t="s">
        <v>39</v>
      </c>
      <c r="M25" s="44"/>
      <c r="N25" s="44"/>
      <c r="O25" s="44" t="n">
        <v>3</v>
      </c>
      <c r="P25" s="44" t="n">
        <v>4.5</v>
      </c>
      <c r="Q25" s="44" t="n">
        <f aca="false">P25*0.25</f>
        <v>1.125</v>
      </c>
      <c r="R25" s="44" t="n">
        <f aca="false">P25+Q25</f>
        <v>5.625</v>
      </c>
      <c r="S25" s="44" t="n">
        <f aca="false">IF(J25="Completed",1,IF(J25="In Progress",0.5,0))</f>
        <v>0</v>
      </c>
      <c r="T25" s="45" t="s">
        <v>78</v>
      </c>
      <c r="U25" s="46"/>
    </row>
    <row r="26" customFormat="false" ht="49.5" hidden="false" customHeight="true" outlineLevel="0" collapsed="false">
      <c r="A26" s="44" t="s">
        <v>148</v>
      </c>
      <c r="B26" s="44" t="s">
        <v>73</v>
      </c>
      <c r="C26" s="44" t="s">
        <v>22</v>
      </c>
      <c r="D26" s="45" t="s">
        <v>74</v>
      </c>
      <c r="E26" s="45" t="s">
        <v>23</v>
      </c>
      <c r="F26" s="45" t="s">
        <v>149</v>
      </c>
      <c r="G26" s="46" t="s">
        <v>150</v>
      </c>
      <c r="H26" s="44" t="s">
        <v>77</v>
      </c>
      <c r="I26" s="31" t="s">
        <v>50</v>
      </c>
      <c r="J26" s="44" t="s">
        <v>13</v>
      </c>
      <c r="K26" s="44"/>
      <c r="L26" s="44" t="s">
        <v>39</v>
      </c>
      <c r="M26" s="44"/>
      <c r="N26" s="44"/>
      <c r="O26" s="44" t="n">
        <v>5</v>
      </c>
      <c r="P26" s="44" t="n">
        <v>7.5</v>
      </c>
      <c r="Q26" s="44" t="n">
        <f aca="false">P26*0.25</f>
        <v>1.875</v>
      </c>
      <c r="R26" s="44" t="n">
        <f aca="false">P26+Q26</f>
        <v>9.375</v>
      </c>
      <c r="S26" s="44" t="n">
        <f aca="false">IF(J26="Completed",1,IF(J26="In Progress",0.5,0))</f>
        <v>0</v>
      </c>
      <c r="T26" s="45" t="s">
        <v>98</v>
      </c>
      <c r="U26" s="46"/>
    </row>
    <row r="27" customFormat="false" ht="49.5" hidden="false" customHeight="true" outlineLevel="0" collapsed="false">
      <c r="A27" s="44" t="s">
        <v>151</v>
      </c>
      <c r="B27" s="44" t="s">
        <v>73</v>
      </c>
      <c r="C27" s="44" t="s">
        <v>28</v>
      </c>
      <c r="D27" s="45" t="s">
        <v>74</v>
      </c>
      <c r="E27" s="45" t="s">
        <v>29</v>
      </c>
      <c r="F27" s="45" t="s">
        <v>152</v>
      </c>
      <c r="G27" s="46" t="s">
        <v>153</v>
      </c>
      <c r="H27" s="44" t="s">
        <v>104</v>
      </c>
      <c r="I27" s="30" t="s">
        <v>49</v>
      </c>
      <c r="J27" s="44" t="s">
        <v>13</v>
      </c>
      <c r="K27" s="44"/>
      <c r="L27" s="44" t="s">
        <v>39</v>
      </c>
      <c r="M27" s="44"/>
      <c r="N27" s="44"/>
      <c r="O27" s="44" t="n">
        <v>5</v>
      </c>
      <c r="P27" s="44" t="n">
        <v>10</v>
      </c>
      <c r="Q27" s="44" t="n">
        <f aca="false">P27*0.25</f>
        <v>2.5</v>
      </c>
      <c r="R27" s="44" t="n">
        <f aca="false">P27+Q27</f>
        <v>12.5</v>
      </c>
      <c r="S27" s="44" t="n">
        <f aca="false">IF(J27="Completed",1,IF(J27="In Progress",0.5,0))</f>
        <v>0</v>
      </c>
      <c r="T27" s="45" t="s">
        <v>154</v>
      </c>
      <c r="U27" s="46"/>
    </row>
    <row r="28" customFormat="false" ht="49.5" hidden="false" customHeight="true" outlineLevel="0" collapsed="false">
      <c r="A28" s="47" t="s">
        <v>155</v>
      </c>
      <c r="B28" s="47" t="s">
        <v>73</v>
      </c>
      <c r="C28" s="47" t="s">
        <v>20</v>
      </c>
      <c r="D28" s="48" t="s">
        <v>74</v>
      </c>
      <c r="E28" s="48" t="s">
        <v>21</v>
      </c>
      <c r="F28" s="48" t="s">
        <v>156</v>
      </c>
      <c r="G28" s="49" t="s">
        <v>157</v>
      </c>
      <c r="H28" s="47" t="s">
        <v>113</v>
      </c>
      <c r="I28" s="30" t="s">
        <v>49</v>
      </c>
      <c r="J28" s="47" t="s">
        <v>13</v>
      </c>
      <c r="K28" s="47"/>
      <c r="L28" s="47" t="s">
        <v>40</v>
      </c>
      <c r="M28" s="47"/>
      <c r="N28" s="47"/>
      <c r="O28" s="47" t="n">
        <v>3</v>
      </c>
      <c r="P28" s="47" t="n">
        <v>6</v>
      </c>
      <c r="Q28" s="47" t="n">
        <f aca="false">P28*0.25</f>
        <v>1.5</v>
      </c>
      <c r="R28" s="47" t="n">
        <f aca="false">P28+Q28</f>
        <v>7.5</v>
      </c>
      <c r="S28" s="47" t="n">
        <f aca="false">IF(J28="Completed",1,IF(J28="In Progress",0.5,0))</f>
        <v>0</v>
      </c>
      <c r="T28" s="48" t="s">
        <v>117</v>
      </c>
      <c r="U28" s="49"/>
    </row>
    <row r="29" customFormat="false" ht="49.5" hidden="false" customHeight="true" outlineLevel="0" collapsed="false">
      <c r="A29" s="47" t="s">
        <v>158</v>
      </c>
      <c r="B29" s="47" t="s">
        <v>73</v>
      </c>
      <c r="C29" s="47" t="s">
        <v>20</v>
      </c>
      <c r="D29" s="48" t="s">
        <v>74</v>
      </c>
      <c r="E29" s="48" t="s">
        <v>21</v>
      </c>
      <c r="F29" s="48" t="s">
        <v>159</v>
      </c>
      <c r="G29" s="49" t="s">
        <v>160</v>
      </c>
      <c r="H29" s="47" t="s">
        <v>113</v>
      </c>
      <c r="I29" s="30" t="s">
        <v>49</v>
      </c>
      <c r="J29" s="47" t="s">
        <v>13</v>
      </c>
      <c r="K29" s="47"/>
      <c r="L29" s="47" t="s">
        <v>40</v>
      </c>
      <c r="M29" s="47"/>
      <c r="N29" s="47"/>
      <c r="O29" s="47" t="n">
        <v>3</v>
      </c>
      <c r="P29" s="47" t="n">
        <v>6</v>
      </c>
      <c r="Q29" s="47" t="n">
        <f aca="false">P29*0.25</f>
        <v>1.5</v>
      </c>
      <c r="R29" s="47" t="n">
        <f aca="false">P29+Q29</f>
        <v>7.5</v>
      </c>
      <c r="S29" s="47" t="n">
        <f aca="false">IF(J29="Completed",1,IF(J29="In Progress",0.5,0))</f>
        <v>0</v>
      </c>
      <c r="T29" s="48" t="s">
        <v>117</v>
      </c>
      <c r="U29" s="49"/>
    </row>
    <row r="30" customFormat="false" ht="49.5" hidden="false" customHeight="true" outlineLevel="0" collapsed="false">
      <c r="A30" s="47" t="s">
        <v>161</v>
      </c>
      <c r="B30" s="47" t="s">
        <v>73</v>
      </c>
      <c r="C30" s="47" t="s">
        <v>20</v>
      </c>
      <c r="D30" s="48" t="s">
        <v>74</v>
      </c>
      <c r="E30" s="48" t="s">
        <v>21</v>
      </c>
      <c r="F30" s="48" t="s">
        <v>162</v>
      </c>
      <c r="G30" s="49" t="s">
        <v>163</v>
      </c>
      <c r="H30" s="47" t="s">
        <v>164</v>
      </c>
      <c r="I30" s="30" t="s">
        <v>49</v>
      </c>
      <c r="J30" s="47" t="s">
        <v>13</v>
      </c>
      <c r="K30" s="47"/>
      <c r="L30" s="47" t="s">
        <v>40</v>
      </c>
      <c r="M30" s="47"/>
      <c r="N30" s="47"/>
      <c r="O30" s="47" t="n">
        <v>3</v>
      </c>
      <c r="P30" s="47" t="n">
        <v>4.5</v>
      </c>
      <c r="Q30" s="47" t="n">
        <f aca="false">P30*0.25</f>
        <v>1.125</v>
      </c>
      <c r="R30" s="47" t="n">
        <f aca="false">P30+Q30</f>
        <v>5.625</v>
      </c>
      <c r="S30" s="47" t="n">
        <f aca="false">IF(J30="Completed",1,IF(J30="In Progress",0.5,0))</f>
        <v>0</v>
      </c>
      <c r="T30" s="48" t="s">
        <v>117</v>
      </c>
      <c r="U30" s="49"/>
    </row>
    <row r="31" customFormat="false" ht="49.5" hidden="false" customHeight="true" outlineLevel="0" collapsed="false">
      <c r="A31" s="47" t="s">
        <v>165</v>
      </c>
      <c r="B31" s="47" t="s">
        <v>73</v>
      </c>
      <c r="C31" s="47" t="s">
        <v>20</v>
      </c>
      <c r="D31" s="48" t="s">
        <v>74</v>
      </c>
      <c r="E31" s="48" t="s">
        <v>21</v>
      </c>
      <c r="F31" s="48" t="s">
        <v>166</v>
      </c>
      <c r="G31" s="49" t="s">
        <v>167</v>
      </c>
      <c r="H31" s="47" t="s">
        <v>164</v>
      </c>
      <c r="I31" s="30" t="s">
        <v>49</v>
      </c>
      <c r="J31" s="47" t="s">
        <v>13</v>
      </c>
      <c r="K31" s="47"/>
      <c r="L31" s="47" t="s">
        <v>40</v>
      </c>
      <c r="M31" s="47"/>
      <c r="N31" s="47"/>
      <c r="O31" s="47" t="n">
        <v>3</v>
      </c>
      <c r="P31" s="47" t="n">
        <v>4.5</v>
      </c>
      <c r="Q31" s="47" t="n">
        <f aca="false">P31*0.25</f>
        <v>1.125</v>
      </c>
      <c r="R31" s="47" t="n">
        <f aca="false">P31+Q31</f>
        <v>5.625</v>
      </c>
      <c r="S31" s="47" t="n">
        <f aca="false">IF(J31="Completed",1,IF(J31="In Progress",0.5,0))</f>
        <v>0</v>
      </c>
      <c r="T31" s="48" t="s">
        <v>117</v>
      </c>
      <c r="U31" s="49"/>
    </row>
    <row r="32" customFormat="false" ht="49.5" hidden="false" customHeight="true" outlineLevel="0" collapsed="false">
      <c r="A32" s="47" t="s">
        <v>168</v>
      </c>
      <c r="B32" s="47" t="s">
        <v>73</v>
      </c>
      <c r="C32" s="47" t="s">
        <v>22</v>
      </c>
      <c r="D32" s="48" t="s">
        <v>74</v>
      </c>
      <c r="E32" s="48" t="s">
        <v>23</v>
      </c>
      <c r="F32" s="48" t="s">
        <v>169</v>
      </c>
      <c r="G32" s="49" t="s">
        <v>170</v>
      </c>
      <c r="H32" s="47" t="s">
        <v>77</v>
      </c>
      <c r="I32" s="31" t="s">
        <v>50</v>
      </c>
      <c r="J32" s="47" t="s">
        <v>13</v>
      </c>
      <c r="K32" s="47"/>
      <c r="L32" s="47" t="s">
        <v>40</v>
      </c>
      <c r="M32" s="47"/>
      <c r="N32" s="47"/>
      <c r="O32" s="47" t="n">
        <v>6</v>
      </c>
      <c r="P32" s="47" t="n">
        <v>9</v>
      </c>
      <c r="Q32" s="47" t="n">
        <f aca="false">P32*0.25</f>
        <v>2.25</v>
      </c>
      <c r="R32" s="47" t="n">
        <f aca="false">P32+Q32</f>
        <v>11.25</v>
      </c>
      <c r="S32" s="47" t="n">
        <f aca="false">IF(J32="Completed",1,IF(J32="In Progress",0.5,0))</f>
        <v>0</v>
      </c>
      <c r="T32" s="48" t="s">
        <v>171</v>
      </c>
      <c r="U32" s="49"/>
    </row>
    <row r="33" customFormat="false" ht="49.5" hidden="false" customHeight="true" outlineLevel="0" collapsed="false">
      <c r="A33" s="47" t="s">
        <v>172</v>
      </c>
      <c r="B33" s="47" t="s">
        <v>73</v>
      </c>
      <c r="C33" s="47" t="s">
        <v>22</v>
      </c>
      <c r="D33" s="48" t="s">
        <v>74</v>
      </c>
      <c r="E33" s="48" t="s">
        <v>23</v>
      </c>
      <c r="F33" s="48" t="s">
        <v>173</v>
      </c>
      <c r="G33" s="49" t="s">
        <v>174</v>
      </c>
      <c r="H33" s="47" t="s">
        <v>87</v>
      </c>
      <c r="I33" s="31" t="s">
        <v>50</v>
      </c>
      <c r="J33" s="47" t="s">
        <v>13</v>
      </c>
      <c r="K33" s="47"/>
      <c r="L33" s="47" t="s">
        <v>40</v>
      </c>
      <c r="M33" s="47"/>
      <c r="N33" s="47"/>
      <c r="O33" s="47" t="n">
        <v>4</v>
      </c>
      <c r="P33" s="47" t="n">
        <v>6</v>
      </c>
      <c r="Q33" s="47" t="n">
        <f aca="false">P33*0.25</f>
        <v>1.5</v>
      </c>
      <c r="R33" s="47" t="n">
        <f aca="false">P33+Q33</f>
        <v>7.5</v>
      </c>
      <c r="S33" s="47" t="n">
        <f aca="false">IF(J33="Completed",1,IF(J33="In Progress",0.5,0))</f>
        <v>0</v>
      </c>
      <c r="T33" s="48" t="s">
        <v>106</v>
      </c>
      <c r="U33" s="49"/>
    </row>
    <row r="34" customFormat="false" ht="49.5" hidden="false" customHeight="true" outlineLevel="0" collapsed="false">
      <c r="A34" s="47" t="s">
        <v>175</v>
      </c>
      <c r="B34" s="47" t="s">
        <v>73</v>
      </c>
      <c r="C34" s="47" t="s">
        <v>20</v>
      </c>
      <c r="D34" s="48" t="s">
        <v>74</v>
      </c>
      <c r="E34" s="48" t="s">
        <v>21</v>
      </c>
      <c r="F34" s="48" t="s">
        <v>176</v>
      </c>
      <c r="G34" s="49" t="s">
        <v>177</v>
      </c>
      <c r="H34" s="47" t="s">
        <v>178</v>
      </c>
      <c r="I34" s="30" t="s">
        <v>49</v>
      </c>
      <c r="J34" s="47" t="s">
        <v>13</v>
      </c>
      <c r="K34" s="47"/>
      <c r="L34" s="47" t="s">
        <v>40</v>
      </c>
      <c r="M34" s="47"/>
      <c r="N34" s="47"/>
      <c r="O34" s="47" t="n">
        <v>4</v>
      </c>
      <c r="P34" s="47" t="n">
        <v>6</v>
      </c>
      <c r="Q34" s="47" t="n">
        <f aca="false">P34*0.25</f>
        <v>1.5</v>
      </c>
      <c r="R34" s="47" t="n">
        <f aca="false">P34+Q34</f>
        <v>7.5</v>
      </c>
      <c r="S34" s="47" t="n">
        <f aca="false">IF(J34="Completed",1,IF(J34="In Progress",0.5,0))</f>
        <v>0</v>
      </c>
      <c r="T34" s="48" t="s">
        <v>136</v>
      </c>
      <c r="U34" s="49"/>
    </row>
    <row r="35" customFormat="false" ht="49.5" hidden="false" customHeight="true" outlineLevel="0" collapsed="false">
      <c r="A35" s="47" t="s">
        <v>179</v>
      </c>
      <c r="B35" s="47" t="s">
        <v>73</v>
      </c>
      <c r="C35" s="47" t="s">
        <v>20</v>
      </c>
      <c r="D35" s="48" t="s">
        <v>74</v>
      </c>
      <c r="E35" s="48" t="s">
        <v>21</v>
      </c>
      <c r="F35" s="48" t="s">
        <v>180</v>
      </c>
      <c r="G35" s="49" t="s">
        <v>181</v>
      </c>
      <c r="H35" s="47" t="s">
        <v>164</v>
      </c>
      <c r="I35" s="31" t="s">
        <v>50</v>
      </c>
      <c r="J35" s="47" t="s">
        <v>13</v>
      </c>
      <c r="K35" s="47"/>
      <c r="L35" s="47" t="s">
        <v>40</v>
      </c>
      <c r="M35" s="47"/>
      <c r="N35" s="47"/>
      <c r="O35" s="47" t="n">
        <v>2</v>
      </c>
      <c r="P35" s="47" t="n">
        <v>3</v>
      </c>
      <c r="Q35" s="47" t="n">
        <f aca="false">P35*0.25</f>
        <v>0.75</v>
      </c>
      <c r="R35" s="47" t="n">
        <f aca="false">P35+Q35</f>
        <v>3.75</v>
      </c>
      <c r="S35" s="47" t="n">
        <f aca="false">IF(J35="Completed",1,IF(J35="In Progress",0.5,0))</f>
        <v>0</v>
      </c>
      <c r="T35" s="48" t="s">
        <v>110</v>
      </c>
      <c r="U35" s="49"/>
    </row>
    <row r="36" customFormat="false" ht="49.5" hidden="false" customHeight="true" outlineLevel="0" collapsed="false">
      <c r="A36" s="47" t="s">
        <v>182</v>
      </c>
      <c r="B36" s="47" t="s">
        <v>73</v>
      </c>
      <c r="C36" s="47" t="s">
        <v>28</v>
      </c>
      <c r="D36" s="48" t="s">
        <v>74</v>
      </c>
      <c r="E36" s="48" t="s">
        <v>29</v>
      </c>
      <c r="F36" s="48" t="s">
        <v>183</v>
      </c>
      <c r="G36" s="49" t="s">
        <v>184</v>
      </c>
      <c r="H36" s="47" t="s">
        <v>185</v>
      </c>
      <c r="I36" s="30" t="s">
        <v>49</v>
      </c>
      <c r="J36" s="47" t="s">
        <v>13</v>
      </c>
      <c r="K36" s="47"/>
      <c r="L36" s="47" t="s">
        <v>40</v>
      </c>
      <c r="M36" s="47"/>
      <c r="N36" s="47"/>
      <c r="O36" s="47" t="n">
        <v>6</v>
      </c>
      <c r="P36" s="47" t="n">
        <v>15</v>
      </c>
      <c r="Q36" s="47" t="n">
        <f aca="false">P36*0.25</f>
        <v>3.75</v>
      </c>
      <c r="R36" s="47" t="n">
        <f aca="false">P36+Q36</f>
        <v>18.75</v>
      </c>
      <c r="S36" s="47" t="n">
        <f aca="false">IF(J36="Completed",1,IF(J36="In Progress",0.5,0))</f>
        <v>0</v>
      </c>
      <c r="T36" s="48" t="s">
        <v>186</v>
      </c>
      <c r="U36" s="49"/>
    </row>
    <row r="37" customFormat="false" ht="49.5" hidden="false" customHeight="true" outlineLevel="0" collapsed="false">
      <c r="A37" s="50" t="s">
        <v>187</v>
      </c>
      <c r="B37" s="50" t="s">
        <v>73</v>
      </c>
      <c r="C37" s="50" t="s">
        <v>24</v>
      </c>
      <c r="D37" s="51" t="s">
        <v>74</v>
      </c>
      <c r="E37" s="51" t="s">
        <v>25</v>
      </c>
      <c r="F37" s="51" t="s">
        <v>188</v>
      </c>
      <c r="G37" s="52" t="s">
        <v>189</v>
      </c>
      <c r="H37" s="50" t="s">
        <v>190</v>
      </c>
      <c r="I37" s="31" t="s">
        <v>50</v>
      </c>
      <c r="J37" s="50" t="s">
        <v>13</v>
      </c>
      <c r="K37" s="50"/>
      <c r="L37" s="50" t="s">
        <v>41</v>
      </c>
      <c r="M37" s="50"/>
      <c r="N37" s="50"/>
      <c r="O37" s="50" t="n">
        <v>5</v>
      </c>
      <c r="P37" s="50" t="n">
        <v>10</v>
      </c>
      <c r="Q37" s="50" t="n">
        <f aca="false">P37*0.25</f>
        <v>2.5</v>
      </c>
      <c r="R37" s="50" t="n">
        <f aca="false">P37+Q37</f>
        <v>12.5</v>
      </c>
      <c r="S37" s="50" t="n">
        <f aca="false">IF(J37="Completed",1,IF(J37="In Progress",0.5,0))</f>
        <v>0</v>
      </c>
      <c r="T37" s="51" t="s">
        <v>106</v>
      </c>
      <c r="U37" s="52"/>
    </row>
    <row r="38" customFormat="false" ht="49.5" hidden="false" customHeight="true" outlineLevel="0" collapsed="false">
      <c r="A38" s="50" t="s">
        <v>191</v>
      </c>
      <c r="B38" s="50" t="s">
        <v>73</v>
      </c>
      <c r="C38" s="50" t="s">
        <v>24</v>
      </c>
      <c r="D38" s="51" t="s">
        <v>74</v>
      </c>
      <c r="E38" s="51" t="s">
        <v>25</v>
      </c>
      <c r="F38" s="51" t="s">
        <v>192</v>
      </c>
      <c r="G38" s="52" t="s">
        <v>193</v>
      </c>
      <c r="H38" s="50" t="s">
        <v>190</v>
      </c>
      <c r="I38" s="31" t="s">
        <v>50</v>
      </c>
      <c r="J38" s="50" t="s">
        <v>13</v>
      </c>
      <c r="K38" s="50"/>
      <c r="L38" s="50" t="s">
        <v>41</v>
      </c>
      <c r="M38" s="50"/>
      <c r="N38" s="50"/>
      <c r="O38" s="50" t="n">
        <v>5</v>
      </c>
      <c r="P38" s="50" t="n">
        <v>10</v>
      </c>
      <c r="Q38" s="50" t="n">
        <f aca="false">P38*0.25</f>
        <v>2.5</v>
      </c>
      <c r="R38" s="50" t="n">
        <f aca="false">P38+Q38</f>
        <v>12.5</v>
      </c>
      <c r="S38" s="50" t="n">
        <f aca="false">IF(J38="Completed",1,IF(J38="In Progress",0.5,0))</f>
        <v>0</v>
      </c>
      <c r="T38" s="51" t="s">
        <v>117</v>
      </c>
      <c r="U38" s="52"/>
    </row>
    <row r="39" customFormat="false" ht="49.5" hidden="false" customHeight="true" outlineLevel="0" collapsed="false">
      <c r="A39" s="50" t="s">
        <v>194</v>
      </c>
      <c r="B39" s="50" t="s">
        <v>73</v>
      </c>
      <c r="C39" s="50" t="s">
        <v>24</v>
      </c>
      <c r="D39" s="51" t="s">
        <v>74</v>
      </c>
      <c r="E39" s="51" t="s">
        <v>25</v>
      </c>
      <c r="F39" s="51" t="s">
        <v>195</v>
      </c>
      <c r="G39" s="52" t="s">
        <v>196</v>
      </c>
      <c r="H39" s="50" t="s">
        <v>190</v>
      </c>
      <c r="I39" s="31" t="s">
        <v>50</v>
      </c>
      <c r="J39" s="50" t="s">
        <v>13</v>
      </c>
      <c r="K39" s="50"/>
      <c r="L39" s="50" t="s">
        <v>41</v>
      </c>
      <c r="M39" s="50"/>
      <c r="N39" s="50"/>
      <c r="O39" s="50" t="n">
        <v>4</v>
      </c>
      <c r="P39" s="50" t="n">
        <v>8</v>
      </c>
      <c r="Q39" s="50" t="n">
        <f aca="false">P39*0.25</f>
        <v>2</v>
      </c>
      <c r="R39" s="50" t="n">
        <f aca="false">P39+Q39</f>
        <v>10</v>
      </c>
      <c r="S39" s="50" t="n">
        <f aca="false">IF(J39="Completed",1,IF(J39="In Progress",0.5,0))</f>
        <v>0</v>
      </c>
      <c r="T39" s="51" t="s">
        <v>120</v>
      </c>
      <c r="U39" s="52"/>
    </row>
    <row r="40" customFormat="false" ht="49.5" hidden="false" customHeight="true" outlineLevel="0" collapsed="false">
      <c r="A40" s="50" t="s">
        <v>197</v>
      </c>
      <c r="B40" s="50" t="s">
        <v>73</v>
      </c>
      <c r="C40" s="50" t="s">
        <v>24</v>
      </c>
      <c r="D40" s="51" t="s">
        <v>74</v>
      </c>
      <c r="E40" s="51" t="s">
        <v>25</v>
      </c>
      <c r="F40" s="51" t="s">
        <v>198</v>
      </c>
      <c r="G40" s="52" t="s">
        <v>199</v>
      </c>
      <c r="H40" s="50" t="s">
        <v>200</v>
      </c>
      <c r="I40" s="31" t="s">
        <v>50</v>
      </c>
      <c r="J40" s="50" t="s">
        <v>13</v>
      </c>
      <c r="K40" s="50"/>
      <c r="L40" s="50" t="s">
        <v>41</v>
      </c>
      <c r="M40" s="50"/>
      <c r="N40" s="50"/>
      <c r="O40" s="50" t="n">
        <v>4</v>
      </c>
      <c r="P40" s="50" t="n">
        <v>10</v>
      </c>
      <c r="Q40" s="50" t="n">
        <f aca="false">P40*0.25</f>
        <v>2.5</v>
      </c>
      <c r="R40" s="50" t="n">
        <f aca="false">P40+Q40</f>
        <v>12.5</v>
      </c>
      <c r="S40" s="50" t="n">
        <f aca="false">IF(J40="Completed",1,IF(J40="In Progress",0.5,0))</f>
        <v>0</v>
      </c>
      <c r="T40" s="51" t="s">
        <v>201</v>
      </c>
      <c r="U40" s="52"/>
    </row>
    <row r="41" customFormat="false" ht="49.5" hidden="false" customHeight="true" outlineLevel="0" collapsed="false">
      <c r="A41" s="50" t="s">
        <v>202</v>
      </c>
      <c r="B41" s="50" t="s">
        <v>73</v>
      </c>
      <c r="C41" s="50" t="s">
        <v>24</v>
      </c>
      <c r="D41" s="51" t="s">
        <v>74</v>
      </c>
      <c r="E41" s="51" t="s">
        <v>25</v>
      </c>
      <c r="F41" s="51" t="s">
        <v>203</v>
      </c>
      <c r="G41" s="52" t="s">
        <v>204</v>
      </c>
      <c r="H41" s="50" t="s">
        <v>190</v>
      </c>
      <c r="I41" s="31" t="s">
        <v>50</v>
      </c>
      <c r="J41" s="50" t="s">
        <v>13</v>
      </c>
      <c r="K41" s="50"/>
      <c r="L41" s="50" t="s">
        <v>41</v>
      </c>
      <c r="M41" s="50"/>
      <c r="N41" s="50"/>
      <c r="O41" s="50" t="n">
        <v>4</v>
      </c>
      <c r="P41" s="50" t="n">
        <v>8</v>
      </c>
      <c r="Q41" s="50" t="n">
        <f aca="false">P41*0.25</f>
        <v>2</v>
      </c>
      <c r="R41" s="50" t="n">
        <f aca="false">P41+Q41</f>
        <v>10</v>
      </c>
      <c r="S41" s="50" t="n">
        <f aca="false">IF(J41="Completed",1,IF(J41="In Progress",0.5,0))</f>
        <v>0</v>
      </c>
      <c r="T41" s="51" t="s">
        <v>205</v>
      </c>
      <c r="U41" s="52"/>
    </row>
    <row r="42" customFormat="false" ht="49.5" hidden="false" customHeight="true" outlineLevel="0" collapsed="false">
      <c r="A42" s="50" t="s">
        <v>206</v>
      </c>
      <c r="B42" s="50" t="s">
        <v>73</v>
      </c>
      <c r="C42" s="50" t="s">
        <v>24</v>
      </c>
      <c r="D42" s="51" t="s">
        <v>74</v>
      </c>
      <c r="E42" s="51" t="s">
        <v>25</v>
      </c>
      <c r="F42" s="51" t="s">
        <v>207</v>
      </c>
      <c r="G42" s="52" t="s">
        <v>208</v>
      </c>
      <c r="H42" s="50" t="s">
        <v>190</v>
      </c>
      <c r="I42" s="31" t="s">
        <v>50</v>
      </c>
      <c r="J42" s="50" t="s">
        <v>13</v>
      </c>
      <c r="K42" s="50"/>
      <c r="L42" s="50" t="s">
        <v>41</v>
      </c>
      <c r="M42" s="50"/>
      <c r="N42" s="50"/>
      <c r="O42" s="50" t="n">
        <v>4</v>
      </c>
      <c r="P42" s="50" t="n">
        <v>8</v>
      </c>
      <c r="Q42" s="50" t="n">
        <f aca="false">P42*0.25</f>
        <v>2</v>
      </c>
      <c r="R42" s="50" t="n">
        <f aca="false">P42+Q42</f>
        <v>10</v>
      </c>
      <c r="S42" s="50" t="n">
        <f aca="false">IF(J42="Completed",1,IF(J42="In Progress",0.5,0))</f>
        <v>0</v>
      </c>
      <c r="T42" s="51" t="s">
        <v>187</v>
      </c>
      <c r="U42" s="52"/>
    </row>
    <row r="43" customFormat="false" ht="49.5" hidden="false" customHeight="true" outlineLevel="0" collapsed="false">
      <c r="A43" s="50" t="s">
        <v>209</v>
      </c>
      <c r="B43" s="50" t="s">
        <v>73</v>
      </c>
      <c r="C43" s="50" t="s">
        <v>24</v>
      </c>
      <c r="D43" s="51" t="s">
        <v>74</v>
      </c>
      <c r="E43" s="51" t="s">
        <v>25</v>
      </c>
      <c r="F43" s="51" t="s">
        <v>210</v>
      </c>
      <c r="G43" s="52" t="s">
        <v>211</v>
      </c>
      <c r="H43" s="50" t="s">
        <v>190</v>
      </c>
      <c r="I43" s="31" t="s">
        <v>50</v>
      </c>
      <c r="J43" s="50" t="s">
        <v>13</v>
      </c>
      <c r="K43" s="50"/>
      <c r="L43" s="50" t="s">
        <v>41</v>
      </c>
      <c r="M43" s="50"/>
      <c r="N43" s="50"/>
      <c r="O43" s="50" t="n">
        <v>3</v>
      </c>
      <c r="P43" s="50" t="n">
        <v>6</v>
      </c>
      <c r="Q43" s="50" t="n">
        <f aca="false">P43*0.25</f>
        <v>1.5</v>
      </c>
      <c r="R43" s="50" t="n">
        <f aca="false">P43+Q43</f>
        <v>7.5</v>
      </c>
      <c r="S43" s="50" t="n">
        <f aca="false">IF(J43="Completed",1,IF(J43="In Progress",0.5,0))</f>
        <v>0</v>
      </c>
      <c r="T43" s="51" t="s">
        <v>194</v>
      </c>
      <c r="U43" s="52"/>
    </row>
    <row r="44" customFormat="false" ht="49.5" hidden="false" customHeight="true" outlineLevel="0" collapsed="false">
      <c r="A44" s="50" t="s">
        <v>212</v>
      </c>
      <c r="B44" s="50" t="s">
        <v>73</v>
      </c>
      <c r="C44" s="50" t="s">
        <v>24</v>
      </c>
      <c r="D44" s="51" t="s">
        <v>74</v>
      </c>
      <c r="E44" s="51" t="s">
        <v>25</v>
      </c>
      <c r="F44" s="51" t="s">
        <v>213</v>
      </c>
      <c r="G44" s="52" t="s">
        <v>214</v>
      </c>
      <c r="H44" s="50" t="s">
        <v>190</v>
      </c>
      <c r="I44" s="32" t="s">
        <v>51</v>
      </c>
      <c r="J44" s="50" t="s">
        <v>13</v>
      </c>
      <c r="K44" s="50"/>
      <c r="L44" s="50" t="s">
        <v>41</v>
      </c>
      <c r="M44" s="50"/>
      <c r="N44" s="50"/>
      <c r="O44" s="50" t="n">
        <v>3</v>
      </c>
      <c r="P44" s="50" t="n">
        <v>6</v>
      </c>
      <c r="Q44" s="50" t="n">
        <f aca="false">P44*0.25</f>
        <v>1.5</v>
      </c>
      <c r="R44" s="50" t="n">
        <f aca="false">P44+Q44</f>
        <v>7.5</v>
      </c>
      <c r="S44" s="50" t="n">
        <f aca="false">IF(J44="Completed",1,IF(J44="In Progress",0.5,0))</f>
        <v>0</v>
      </c>
      <c r="T44" s="51" t="s">
        <v>191</v>
      </c>
      <c r="U44" s="52"/>
    </row>
    <row r="45" customFormat="false" ht="49.5" hidden="false" customHeight="true" outlineLevel="0" collapsed="false">
      <c r="A45" s="53" t="s">
        <v>215</v>
      </c>
      <c r="B45" s="53" t="s">
        <v>73</v>
      </c>
      <c r="C45" s="53" t="s">
        <v>26</v>
      </c>
      <c r="D45" s="54" t="s">
        <v>74</v>
      </c>
      <c r="E45" s="54" t="s">
        <v>27</v>
      </c>
      <c r="F45" s="54" t="s">
        <v>216</v>
      </c>
      <c r="G45" s="55" t="s">
        <v>217</v>
      </c>
      <c r="H45" s="53" t="s">
        <v>190</v>
      </c>
      <c r="I45" s="32" t="s">
        <v>51</v>
      </c>
      <c r="J45" s="53" t="s">
        <v>13</v>
      </c>
      <c r="K45" s="53"/>
      <c r="L45" s="53" t="s">
        <v>42</v>
      </c>
      <c r="M45" s="53"/>
      <c r="N45" s="53"/>
      <c r="O45" s="53" t="n">
        <v>10</v>
      </c>
      <c r="P45" s="53" t="n">
        <v>20</v>
      </c>
      <c r="Q45" s="53" t="n">
        <f aca="false">P45*0.25</f>
        <v>5</v>
      </c>
      <c r="R45" s="53" t="n">
        <f aca="false">P45+Q45</f>
        <v>25</v>
      </c>
      <c r="S45" s="53" t="n">
        <f aca="false">IF(J45="Completed",1,IF(J45="In Progress",0.5,0))</f>
        <v>0</v>
      </c>
      <c r="T45" s="54" t="s">
        <v>218</v>
      </c>
      <c r="U45" s="55"/>
    </row>
    <row r="46" customFormat="false" ht="49.5" hidden="false" customHeight="true" outlineLevel="0" collapsed="false">
      <c r="A46" s="53" t="s">
        <v>219</v>
      </c>
      <c r="B46" s="53" t="s">
        <v>73</v>
      </c>
      <c r="C46" s="53" t="s">
        <v>24</v>
      </c>
      <c r="D46" s="54" t="s">
        <v>74</v>
      </c>
      <c r="E46" s="54" t="s">
        <v>25</v>
      </c>
      <c r="F46" s="54" t="s">
        <v>220</v>
      </c>
      <c r="G46" s="55" t="s">
        <v>221</v>
      </c>
      <c r="H46" s="53" t="s">
        <v>190</v>
      </c>
      <c r="I46" s="32" t="s">
        <v>51</v>
      </c>
      <c r="J46" s="53" t="s">
        <v>13</v>
      </c>
      <c r="K46" s="53"/>
      <c r="L46" s="53" t="s">
        <v>42</v>
      </c>
      <c r="M46" s="53"/>
      <c r="N46" s="53"/>
      <c r="O46" s="53" t="n">
        <v>3</v>
      </c>
      <c r="P46" s="53" t="n">
        <v>6</v>
      </c>
      <c r="Q46" s="53" t="n">
        <f aca="false">P46*0.25</f>
        <v>1.5</v>
      </c>
      <c r="R46" s="53" t="n">
        <f aca="false">P46+Q46</f>
        <v>7.5</v>
      </c>
      <c r="S46" s="53" t="n">
        <f aca="false">IF(J46="Completed",1,IF(J46="In Progress",0.5,0))</f>
        <v>0</v>
      </c>
      <c r="T46" s="54" t="s">
        <v>194</v>
      </c>
      <c r="U46" s="55"/>
    </row>
    <row r="47" customFormat="false" ht="49.5" hidden="false" customHeight="true" outlineLevel="0" collapsed="false">
      <c r="A47" s="53" t="s">
        <v>222</v>
      </c>
      <c r="B47" s="53" t="s">
        <v>73</v>
      </c>
      <c r="C47" s="53" t="s">
        <v>26</v>
      </c>
      <c r="D47" s="54" t="s">
        <v>74</v>
      </c>
      <c r="E47" s="54" t="s">
        <v>27</v>
      </c>
      <c r="F47" s="54" t="s">
        <v>223</v>
      </c>
      <c r="G47" s="55" t="s">
        <v>224</v>
      </c>
      <c r="H47" s="53" t="s">
        <v>185</v>
      </c>
      <c r="I47" s="32" t="s">
        <v>51</v>
      </c>
      <c r="J47" s="53" t="s">
        <v>13</v>
      </c>
      <c r="K47" s="53"/>
      <c r="L47" s="53" t="s">
        <v>42</v>
      </c>
      <c r="M47" s="53"/>
      <c r="N47" s="53"/>
      <c r="O47" s="53" t="n">
        <v>4</v>
      </c>
      <c r="P47" s="53" t="n">
        <v>10</v>
      </c>
      <c r="Q47" s="53" t="n">
        <f aca="false">P47*0.25</f>
        <v>2.5</v>
      </c>
      <c r="R47" s="53" t="n">
        <f aca="false">P47+Q47</f>
        <v>12.5</v>
      </c>
      <c r="S47" s="53" t="n">
        <f aca="false">IF(J47="Completed",1,IF(J47="In Progress",0.5,0))</f>
        <v>0</v>
      </c>
      <c r="T47" s="54" t="s">
        <v>225</v>
      </c>
      <c r="U47" s="55"/>
    </row>
  </sheetData>
  <autoFilter ref="A3:U47"/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8" min="8" style="0" width="50"/>
    <col collapsed="false" customWidth="true" hidden="false" outlineLevel="0" max="9" min="9" style="0" width="40"/>
    <col collapsed="false" customWidth="true" hidden="false" outlineLevel="0" max="10" min="10" style="0" width="35"/>
  </cols>
  <sheetData>
    <row r="1" customFormat="false" ht="27.75" hidden="false" customHeight="true" outlineLevel="0" collapsed="false">
      <c r="A1" s="39" t="s">
        <v>226</v>
      </c>
      <c r="B1" s="39"/>
      <c r="C1" s="39"/>
      <c r="D1" s="39"/>
      <c r="E1" s="39"/>
      <c r="F1" s="39"/>
      <c r="G1" s="39"/>
      <c r="H1" s="39"/>
      <c r="I1" s="39"/>
      <c r="J1" s="39"/>
    </row>
    <row r="2" customFormat="false" ht="19.5" hidden="false" customHeight="true" outlineLevel="0" collapsed="false">
      <c r="A2" s="40" t="s">
        <v>227</v>
      </c>
      <c r="B2" s="40"/>
      <c r="C2" s="40"/>
      <c r="D2" s="40"/>
      <c r="E2" s="40"/>
      <c r="F2" s="40"/>
      <c r="G2" s="40"/>
      <c r="H2" s="40"/>
      <c r="I2" s="40"/>
      <c r="J2" s="40"/>
    </row>
    <row r="3" customFormat="false" ht="27.75" hidden="false" customHeight="true" outlineLevel="0" collapsed="false">
      <c r="A3" s="10" t="s">
        <v>64</v>
      </c>
      <c r="B3" s="10" t="s">
        <v>228</v>
      </c>
      <c r="C3" s="10" t="s">
        <v>229</v>
      </c>
      <c r="D3" s="10" t="s">
        <v>230</v>
      </c>
      <c r="E3" s="10" t="s">
        <v>231</v>
      </c>
      <c r="F3" s="10" t="s">
        <v>6</v>
      </c>
      <c r="G3" s="10" t="s">
        <v>10</v>
      </c>
      <c r="H3" s="10" t="s">
        <v>232</v>
      </c>
      <c r="I3" s="10" t="s">
        <v>233</v>
      </c>
      <c r="J3" s="10" t="s">
        <v>234</v>
      </c>
    </row>
    <row r="4" customFormat="false" ht="79.5" hidden="false" customHeight="true" outlineLevel="0" collapsed="false">
      <c r="A4" s="56" t="s">
        <v>38</v>
      </c>
      <c r="B4" s="56" t="s">
        <v>43</v>
      </c>
      <c r="C4" s="56" t="n">
        <f aca="false">COUNTIF('📋 All Tasks'!L:L,"Sprint 2")</f>
        <v>9</v>
      </c>
      <c r="D4" s="56" t="n">
        <f aca="false">COUNTIFS('📋 All Tasks'!L:L,"Sprint 2",'📋 All Tasks'!I:I,"P1 - Critical")</f>
        <v>7</v>
      </c>
      <c r="E4" s="56" t="n">
        <f aca="false">COUNTIFS('📋 All Tasks'!L:L,"Sprint 2",'📋 All Tasks'!I:I,"P2 - High")</f>
        <v>2</v>
      </c>
      <c r="F4" s="56" t="n">
        <f aca="false">SUMIF('📋 All Tasks'!L:L,"Sprint 2",'📋 All Tasks'!O:O)</f>
        <v>40</v>
      </c>
      <c r="G4" s="56" t="s">
        <v>13</v>
      </c>
      <c r="H4" s="57" t="s">
        <v>235</v>
      </c>
      <c r="I4" s="57" t="s">
        <v>236</v>
      </c>
      <c r="J4" s="57" t="s">
        <v>237</v>
      </c>
    </row>
    <row r="5" customFormat="false" ht="79.5" hidden="false" customHeight="true" outlineLevel="0" collapsed="false">
      <c r="A5" s="58" t="s">
        <v>39</v>
      </c>
      <c r="B5" s="58" t="s">
        <v>44</v>
      </c>
      <c r="C5" s="58" t="n">
        <f aca="false">COUNTIF('📋 All Tasks'!L:L,"Sprint 3")</f>
        <v>15</v>
      </c>
      <c r="D5" s="58" t="n">
        <f aca="false">COUNTIFS('📋 All Tasks'!L:L,"Sprint 3",'📋 All Tasks'!I:I,"P1 - Critical")</f>
        <v>10</v>
      </c>
      <c r="E5" s="58" t="n">
        <f aca="false">COUNTIFS('📋 All Tasks'!L:L,"Sprint 3",'📋 All Tasks'!I:I,"P2 - High")</f>
        <v>5</v>
      </c>
      <c r="F5" s="58" t="n">
        <f aca="false">SUMIF('📋 All Tasks'!L:L,"Sprint 3",'📋 All Tasks'!O:O)</f>
        <v>74</v>
      </c>
      <c r="G5" s="58" t="s">
        <v>13</v>
      </c>
      <c r="H5" s="59" t="s">
        <v>238</v>
      </c>
      <c r="I5" s="59" t="s">
        <v>239</v>
      </c>
      <c r="J5" s="59" t="s">
        <v>240</v>
      </c>
    </row>
    <row r="6" customFormat="false" ht="79.5" hidden="false" customHeight="true" outlineLevel="0" collapsed="false">
      <c r="A6" s="60" t="s">
        <v>40</v>
      </c>
      <c r="B6" s="60" t="s">
        <v>45</v>
      </c>
      <c r="C6" s="60" t="n">
        <f aca="false">COUNTIF('📋 All Tasks'!L:L,"Sprints 4-6")</f>
        <v>9</v>
      </c>
      <c r="D6" s="60" t="n">
        <f aca="false">COUNTIFS('📋 All Tasks'!L:L,"Sprints 4-6",'📋 All Tasks'!I:I,"P1 - Critical")</f>
        <v>6</v>
      </c>
      <c r="E6" s="60" t="n">
        <f aca="false">COUNTIFS('📋 All Tasks'!L:L,"Sprints 4-6",'📋 All Tasks'!I:I,"P2 - High")</f>
        <v>3</v>
      </c>
      <c r="F6" s="60" t="n">
        <f aca="false">SUMIF('📋 All Tasks'!L:L,"Sprints 4-6",'📋 All Tasks'!O:O)</f>
        <v>34</v>
      </c>
      <c r="G6" s="60" t="s">
        <v>13</v>
      </c>
      <c r="H6" s="61" t="s">
        <v>241</v>
      </c>
      <c r="I6" s="61" t="s">
        <v>242</v>
      </c>
      <c r="J6" s="61" t="s">
        <v>243</v>
      </c>
    </row>
    <row r="7" customFormat="false" ht="79.5" hidden="false" customHeight="true" outlineLevel="0" collapsed="false">
      <c r="A7" s="62" t="s">
        <v>41</v>
      </c>
      <c r="B7" s="62" t="s">
        <v>46</v>
      </c>
      <c r="C7" s="62" t="n">
        <f aca="false">COUNTIF('📋 All Tasks'!L:L,"Sprint 7")</f>
        <v>8</v>
      </c>
      <c r="D7" s="62" t="n">
        <f aca="false">COUNTIFS('📋 All Tasks'!L:L,"Sprint 7",'📋 All Tasks'!I:I,"P1 - Critical")</f>
        <v>0</v>
      </c>
      <c r="E7" s="62" t="n">
        <f aca="false">COUNTIFS('📋 All Tasks'!L:L,"Sprint 7",'📋 All Tasks'!I:I,"P2 - High")</f>
        <v>7</v>
      </c>
      <c r="F7" s="62" t="n">
        <f aca="false">SUMIF('📋 All Tasks'!L:L,"Sprint 7",'📋 All Tasks'!O:O)</f>
        <v>32</v>
      </c>
      <c r="G7" s="62" t="s">
        <v>13</v>
      </c>
      <c r="H7" s="63" t="s">
        <v>244</v>
      </c>
      <c r="I7" s="63" t="s">
        <v>245</v>
      </c>
      <c r="J7" s="63" t="s">
        <v>246</v>
      </c>
    </row>
    <row r="8" customFormat="false" ht="79.5" hidden="false" customHeight="true" outlineLevel="0" collapsed="false">
      <c r="A8" s="64" t="s">
        <v>42</v>
      </c>
      <c r="B8" s="64" t="s">
        <v>47</v>
      </c>
      <c r="C8" s="64" t="n">
        <f aca="false">COUNTIF('📋 All Tasks'!L:L,"Sprint 9")</f>
        <v>3</v>
      </c>
      <c r="D8" s="64" t="n">
        <f aca="false">COUNTIFS('📋 All Tasks'!L:L,"Sprint 9",'📋 All Tasks'!I:I,"P1 - Critical")</f>
        <v>0</v>
      </c>
      <c r="E8" s="64" t="n">
        <f aca="false">COUNTIFS('📋 All Tasks'!L:L,"Sprint 9",'📋 All Tasks'!I:I,"P2 - High")</f>
        <v>0</v>
      </c>
      <c r="F8" s="64" t="n">
        <f aca="false">SUMIF('📋 All Tasks'!L:L,"Sprint 9",'📋 All Tasks'!O:O)</f>
        <v>17</v>
      </c>
      <c r="G8" s="64" t="s">
        <v>13</v>
      </c>
      <c r="H8" s="65" t="s">
        <v>247</v>
      </c>
      <c r="I8" s="65" t="s">
        <v>248</v>
      </c>
      <c r="J8" s="65" t="s">
        <v>249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42"/>
  </cols>
  <sheetData>
    <row r="1" customFormat="false" ht="27.75" hidden="false" customHeight="true" outlineLevel="0" collapsed="false">
      <c r="A1" s="39" t="s">
        <v>250</v>
      </c>
      <c r="B1" s="39"/>
      <c r="C1" s="39"/>
      <c r="D1" s="39"/>
      <c r="E1" s="39"/>
      <c r="F1" s="39"/>
    </row>
    <row r="2" customFormat="false" ht="19.5" hidden="false" customHeight="true" outlineLevel="0" collapsed="false">
      <c r="A2" s="40" t="s">
        <v>251</v>
      </c>
      <c r="B2" s="40"/>
      <c r="C2" s="40"/>
      <c r="D2" s="40"/>
      <c r="E2" s="40"/>
      <c r="F2" s="40"/>
    </row>
    <row r="3" customFormat="false" ht="27.75" hidden="false" customHeight="true" outlineLevel="0" collapsed="false">
      <c r="A3" s="10" t="s">
        <v>252</v>
      </c>
      <c r="B3" s="10" t="s">
        <v>253</v>
      </c>
      <c r="C3" s="10" t="s">
        <v>254</v>
      </c>
      <c r="D3" s="10" t="s">
        <v>255</v>
      </c>
      <c r="E3" s="10" t="s">
        <v>64</v>
      </c>
      <c r="F3" s="10" t="s">
        <v>256</v>
      </c>
    </row>
    <row r="4" customFormat="false" ht="49.5" hidden="false" customHeight="true" outlineLevel="0" collapsed="false">
      <c r="A4" s="66" t="s">
        <v>257</v>
      </c>
      <c r="B4" s="67" t="s">
        <v>258</v>
      </c>
      <c r="C4" s="43" t="s">
        <v>259</v>
      </c>
      <c r="D4" s="43" t="s">
        <v>260</v>
      </c>
      <c r="E4" s="66" t="s">
        <v>261</v>
      </c>
      <c r="F4" s="43" t="s">
        <v>262</v>
      </c>
    </row>
    <row r="5" customFormat="false" ht="49.5" hidden="false" customHeight="true" outlineLevel="0" collapsed="false">
      <c r="A5" s="68" t="s">
        <v>263</v>
      </c>
      <c r="B5" s="69" t="s">
        <v>264</v>
      </c>
      <c r="C5" s="49" t="s">
        <v>265</v>
      </c>
      <c r="D5" s="49" t="s">
        <v>266</v>
      </c>
      <c r="E5" s="68" t="s">
        <v>267</v>
      </c>
      <c r="F5" s="49" t="s">
        <v>268</v>
      </c>
    </row>
    <row r="6" customFormat="false" ht="49.5" hidden="false" customHeight="true" outlineLevel="0" collapsed="false">
      <c r="A6" s="68" t="s">
        <v>269</v>
      </c>
      <c r="B6" s="69" t="s">
        <v>264</v>
      </c>
      <c r="C6" s="49" t="s">
        <v>270</v>
      </c>
      <c r="D6" s="49" t="s">
        <v>271</v>
      </c>
      <c r="E6" s="68" t="s">
        <v>267</v>
      </c>
      <c r="F6" s="49" t="s">
        <v>272</v>
      </c>
    </row>
    <row r="7" customFormat="false" ht="49.5" hidden="false" customHeight="true" outlineLevel="0" collapsed="false">
      <c r="A7" s="68" t="s">
        <v>273</v>
      </c>
      <c r="B7" s="69" t="s">
        <v>264</v>
      </c>
      <c r="C7" s="49" t="s">
        <v>274</v>
      </c>
      <c r="D7" s="49" t="s">
        <v>275</v>
      </c>
      <c r="E7" s="68" t="s">
        <v>276</v>
      </c>
      <c r="F7" s="49" t="s">
        <v>277</v>
      </c>
    </row>
    <row r="8" customFormat="false" ht="49.5" hidden="false" customHeight="true" outlineLevel="0" collapsed="false">
      <c r="A8" s="68" t="s">
        <v>278</v>
      </c>
      <c r="B8" s="69" t="s">
        <v>264</v>
      </c>
      <c r="C8" s="49" t="s">
        <v>279</v>
      </c>
      <c r="D8" s="49" t="s">
        <v>280</v>
      </c>
      <c r="E8" s="68" t="s">
        <v>276</v>
      </c>
      <c r="F8" s="49" t="s">
        <v>281</v>
      </c>
    </row>
    <row r="9" customFormat="false" ht="49.5" hidden="false" customHeight="true" outlineLevel="0" collapsed="false">
      <c r="A9" s="70" t="s">
        <v>263</v>
      </c>
      <c r="B9" s="71" t="s">
        <v>282</v>
      </c>
      <c r="C9" s="46" t="s">
        <v>283</v>
      </c>
      <c r="D9" s="46" t="s">
        <v>284</v>
      </c>
      <c r="E9" s="70" t="s">
        <v>39</v>
      </c>
      <c r="F9" s="46" t="s">
        <v>285</v>
      </c>
    </row>
    <row r="10" customFormat="false" ht="49.5" hidden="false" customHeight="true" outlineLevel="0" collapsed="false">
      <c r="A10" s="68" t="s">
        <v>269</v>
      </c>
      <c r="B10" s="72" t="s">
        <v>282</v>
      </c>
      <c r="C10" s="49" t="s">
        <v>286</v>
      </c>
      <c r="D10" s="49" t="s">
        <v>287</v>
      </c>
      <c r="E10" s="68" t="s">
        <v>267</v>
      </c>
      <c r="F10" s="49" t="s">
        <v>288</v>
      </c>
    </row>
    <row r="11" customFormat="false" ht="49.5" hidden="false" customHeight="true" outlineLevel="0" collapsed="false">
      <c r="A11" s="68" t="s">
        <v>273</v>
      </c>
      <c r="B11" s="72" t="s">
        <v>282</v>
      </c>
      <c r="C11" s="49" t="s">
        <v>289</v>
      </c>
      <c r="D11" s="49" t="s">
        <v>290</v>
      </c>
      <c r="E11" s="68" t="s">
        <v>276</v>
      </c>
      <c r="F11" s="49" t="s">
        <v>291</v>
      </c>
    </row>
    <row r="12" customFormat="false" ht="49.5" hidden="false" customHeight="true" outlineLevel="0" collapsed="false">
      <c r="A12" s="68" t="s">
        <v>278</v>
      </c>
      <c r="B12" s="72" t="s">
        <v>282</v>
      </c>
      <c r="C12" s="49" t="s">
        <v>292</v>
      </c>
      <c r="D12" s="49" t="s">
        <v>293</v>
      </c>
      <c r="E12" s="68" t="s">
        <v>276</v>
      </c>
      <c r="F12" s="49" t="s">
        <v>294</v>
      </c>
    </row>
    <row r="13" customFormat="false" ht="49.5" hidden="false" customHeight="true" outlineLevel="0" collapsed="false">
      <c r="A13" s="68" t="s">
        <v>295</v>
      </c>
      <c r="B13" s="72" t="s">
        <v>282</v>
      </c>
      <c r="C13" s="49" t="s">
        <v>296</v>
      </c>
      <c r="D13" s="49" t="s">
        <v>297</v>
      </c>
      <c r="E13" s="68" t="s">
        <v>267</v>
      </c>
      <c r="F13" s="49" t="s">
        <v>298</v>
      </c>
    </row>
    <row r="14" customFormat="false" ht="49.5" hidden="false" customHeight="true" outlineLevel="0" collapsed="false">
      <c r="A14" s="68" t="s">
        <v>299</v>
      </c>
      <c r="B14" s="72" t="s">
        <v>282</v>
      </c>
      <c r="C14" s="49" t="s">
        <v>300</v>
      </c>
      <c r="D14" s="49" t="s">
        <v>301</v>
      </c>
      <c r="E14" s="68" t="s">
        <v>276</v>
      </c>
      <c r="F14" s="49" t="s">
        <v>302</v>
      </c>
    </row>
    <row r="15" customFormat="false" ht="49.5" hidden="false" customHeight="true" outlineLevel="0" collapsed="false">
      <c r="A15" s="68" t="s">
        <v>303</v>
      </c>
      <c r="B15" s="72" t="s">
        <v>282</v>
      </c>
      <c r="C15" s="49" t="s">
        <v>304</v>
      </c>
      <c r="D15" s="49" t="s">
        <v>305</v>
      </c>
      <c r="E15" s="68" t="s">
        <v>276</v>
      </c>
      <c r="F15" s="49" t="s">
        <v>306</v>
      </c>
    </row>
    <row r="16" customFormat="false" ht="49.5" hidden="false" customHeight="true" outlineLevel="0" collapsed="false">
      <c r="A16" s="73" t="s">
        <v>307</v>
      </c>
      <c r="B16" s="74" t="s">
        <v>282</v>
      </c>
      <c r="C16" s="75" t="s">
        <v>308</v>
      </c>
      <c r="D16" s="75" t="s">
        <v>309</v>
      </c>
      <c r="E16" s="73" t="s">
        <v>310</v>
      </c>
      <c r="F16" s="75" t="s">
        <v>311</v>
      </c>
    </row>
    <row r="17" customFormat="false" ht="49.5" hidden="false" customHeight="true" outlineLevel="0" collapsed="false">
      <c r="A17" s="76" t="s">
        <v>312</v>
      </c>
      <c r="B17" s="77" t="s">
        <v>282</v>
      </c>
      <c r="C17" s="52" t="s">
        <v>313</v>
      </c>
      <c r="D17" s="52" t="s">
        <v>314</v>
      </c>
      <c r="E17" s="76" t="s">
        <v>41</v>
      </c>
      <c r="F17" s="52" t="s">
        <v>315</v>
      </c>
    </row>
  </sheetData>
  <autoFilter ref="A3:F17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2026-05-06T08:05:18Z</dcterms:created>
  <dc:creator>openpyxl</dc:creator>
  <dc:description/>
  <dc:language>en-US</dc:language>
  <cp:lastModifiedBy/>
  <dcterms:modified xsi:type="dcterms:W3CDTF">2026-05-06T08:05:18Z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